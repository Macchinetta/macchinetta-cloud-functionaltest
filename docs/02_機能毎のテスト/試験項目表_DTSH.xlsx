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-sts\macchinetta-cloud-functionaltest\docs\02_機能毎のテスト\"/>
    </mc:Choice>
  </mc:AlternateContent>
  <bookViews>
    <workbookView xWindow="1440" yWindow="3465" windowWidth="25020" windowHeight="8340" activeTab="4"/>
  </bookViews>
  <sheets>
    <sheet name="大中項目" sheetId="1" r:id="rId1"/>
    <sheet name="DTSH01" sheetId="6" r:id="rId2"/>
    <sheet name="DTSH02" sheetId="7" r:id="rId3"/>
    <sheet name="DTSH03" sheetId="8" r:id="rId4"/>
    <sheet name="DTSH04" sheetId="9" r:id="rId5"/>
  </sheets>
  <definedNames>
    <definedName name="_xlnm.Print_Titles" localSheetId="1">DTSH01!$1:$8</definedName>
    <definedName name="_xlnm.Print_Titles" localSheetId="2">DTSH02!$1:$8</definedName>
    <definedName name="_xlnm.Print_Titles" localSheetId="3">DTSH03!$1:$8</definedName>
    <definedName name="_xlnm.Print_Titles" localSheetId="4">DTSH04!$1:$8</definedName>
    <definedName name="_xlnm.Print_Titles" localSheetId="0">大中項目!$1:$4</definedName>
  </definedNames>
  <calcPr calcId="152511"/>
</workbook>
</file>

<file path=xl/calcChain.xml><?xml version="1.0" encoding="utf-8"?>
<calcChain xmlns="http://schemas.openxmlformats.org/spreadsheetml/2006/main">
  <c r="D9" i="9" l="1"/>
  <c r="C2" i="9" s="1"/>
  <c r="A9" i="9"/>
  <c r="B9" i="9" s="1"/>
  <c r="E3" i="9"/>
  <c r="E2" i="9"/>
  <c r="D3" i="9"/>
  <c r="D2" i="9"/>
  <c r="A17" i="1"/>
  <c r="C17" i="1" s="1"/>
  <c r="A15" i="1"/>
  <c r="A16" i="1"/>
  <c r="B10" i="9"/>
  <c r="B11" i="9"/>
  <c r="B12" i="9"/>
  <c r="B13" i="9"/>
  <c r="B14" i="9" s="1"/>
  <c r="B15" i="9" s="1"/>
  <c r="B16" i="9"/>
  <c r="B17" i="9" s="1"/>
  <c r="B18" i="9" s="1"/>
  <c r="B19" i="9" s="1"/>
  <c r="E3" i="8" l="1"/>
  <c r="E3" i="7"/>
  <c r="E3" i="6"/>
  <c r="E2" i="6"/>
  <c r="D3" i="8"/>
  <c r="D2" i="8"/>
  <c r="C2" i="8"/>
  <c r="D3" i="7"/>
  <c r="D2" i="7"/>
  <c r="C2" i="7"/>
  <c r="A13" i="1"/>
  <c r="E2" i="8" s="1"/>
  <c r="A9" i="1"/>
  <c r="E2" i="7" s="1"/>
  <c r="D3" i="6" l="1"/>
  <c r="D2" i="6"/>
  <c r="A14" i="1"/>
  <c r="A12" i="1"/>
  <c r="A11" i="1"/>
  <c r="A7" i="1"/>
  <c r="A10" i="1"/>
  <c r="A8" i="1"/>
  <c r="A6" i="1"/>
  <c r="C5" i="1" l="1"/>
  <c r="A9" i="6" s="1"/>
  <c r="B9" i="6" s="1"/>
  <c r="C6" i="1" l="1"/>
  <c r="A10" i="6" s="1"/>
  <c r="B10" i="6" s="1"/>
  <c r="B11" i="6"/>
  <c r="C7" i="1" l="1"/>
  <c r="A12" i="6" s="1"/>
  <c r="B12" i="6" s="1"/>
  <c r="C8" i="1" l="1"/>
  <c r="A14" i="6" s="1"/>
  <c r="C2" i="6"/>
  <c r="C2" i="1" s="1"/>
  <c r="B13" i="6"/>
  <c r="C9" i="1" l="1"/>
  <c r="A9" i="7" s="1"/>
  <c r="B9" i="7" s="1"/>
  <c r="B14" i="6"/>
  <c r="C10" i="1" l="1"/>
  <c r="A10" i="7" s="1"/>
  <c r="B10" i="7" s="1"/>
  <c r="B11" i="7"/>
  <c r="B15" i="6"/>
  <c r="C11" i="1" l="1"/>
  <c r="A12" i="7" s="1"/>
  <c r="B12" i="7" s="1"/>
  <c r="B13" i="7"/>
  <c r="B16" i="6"/>
  <c r="C12" i="1" l="1"/>
  <c r="A14" i="7" s="1"/>
  <c r="B14" i="7" s="1"/>
  <c r="B15" i="7"/>
  <c r="B16" i="7" s="1"/>
  <c r="B17" i="7" s="1"/>
  <c r="B18" i="7" s="1"/>
  <c r="B19" i="7" s="1"/>
  <c r="B17" i="6"/>
  <c r="C13" i="1" l="1"/>
  <c r="A9" i="8" s="1"/>
  <c r="B9" i="8" s="1"/>
  <c r="B18" i="6"/>
  <c r="C14" i="1" l="1"/>
  <c r="B19" i="6"/>
  <c r="C15" i="1" l="1"/>
  <c r="A11" i="8" s="1"/>
  <c r="B11" i="8" s="1"/>
  <c r="A10" i="8"/>
  <c r="B10" i="8" s="1"/>
  <c r="C16" i="1"/>
  <c r="A12" i="8" s="1"/>
  <c r="B12" i="8" s="1"/>
  <c r="B13" i="8"/>
  <c r="B14" i="8" s="1"/>
  <c r="B15" i="8" s="1"/>
  <c r="B16" i="8" s="1"/>
  <c r="B17" i="8" s="1"/>
  <c r="B18" i="8" s="1"/>
  <c r="B19" i="8" s="1"/>
</calcChain>
</file>

<file path=xl/sharedStrings.xml><?xml version="1.0" encoding="utf-8"?>
<sst xmlns="http://schemas.openxmlformats.org/spreadsheetml/2006/main" count="233" uniqueCount="81">
  <si>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</si>
  <si>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</si>
  <si>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</si>
  <si>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</si>
  <si>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</si>
  <si>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</si>
  <si>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</si>
  <si>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</si>
  <si>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</si>
  <si>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</si>
  <si>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</si>
  <si>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</si>
  <si>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</si>
  <si>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</si>
  <si>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</si>
  <si>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</si>
  <si>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</si>
  <si>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</si>
  <si>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</si>
  <si>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</si>
  <si>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</si>
  <si>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</si>
  <si>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</si>
  <si>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</si>
  <si>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</si>
  <si>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DTSH</t>
    <phoneticPr fontId="2"/>
  </si>
  <si>
    <t>データベースシャーディング</t>
    <phoneticPr fontId="2"/>
  </si>
  <si>
    <t>DTSH01</t>
    <phoneticPr fontId="2"/>
  </si>
  <si>
    <t>引数が1つのメソッドに@ShardWithAccountを付与し、DBにシャーディングして書き込みができることを確認する。</t>
    <rPh sb="45" eb="46">
      <t>カ</t>
    </rPh>
    <rPh sb="47" eb="48">
      <t>コ</t>
    </rPh>
    <rPh sb="56" eb="58">
      <t>カクニン</t>
    </rPh>
    <phoneticPr fontId="2"/>
  </si>
  <si>
    <t>引数が1つのメソッドに@ShardWithAccountを付与し、シャーディングしたDBにて更新ができることを確認する。</t>
    <rPh sb="46" eb="48">
      <t>コウシン</t>
    </rPh>
    <rPh sb="55" eb="57">
      <t>カクニン</t>
    </rPh>
    <phoneticPr fontId="2"/>
  </si>
  <si>
    <t>引数が1つのメソッドに@ShardWithAccountを付与し、シャーディングしたDBにて削除ができることを確認する。</t>
    <rPh sb="46" eb="48">
      <t>サクジョ</t>
    </rPh>
    <rPh sb="55" eb="57">
      <t>カクニン</t>
    </rPh>
    <phoneticPr fontId="2"/>
  </si>
  <si>
    <t>引数が1つのメソッドに@ShardWithAccountを付与し、シャーディングしたDBにて読み込みができることを確認する。</t>
    <rPh sb="46" eb="47">
      <t>ヨ</t>
    </rPh>
    <rPh sb="48" eb="49">
      <t>コ</t>
    </rPh>
    <rPh sb="57" eb="59">
      <t>カクニン</t>
    </rPh>
    <phoneticPr fontId="2"/>
  </si>
  <si>
    <t>引数が2つのメソッドに@ShardWithAccount、シャーディング対象となる引数に@ShardAccountを付与し、DBにシャーディングして書き込みができることを確認する。</t>
    <rPh sb="74" eb="75">
      <t>カ</t>
    </rPh>
    <rPh sb="76" eb="77">
      <t>コ</t>
    </rPh>
    <rPh sb="85" eb="87">
      <t>カクニン</t>
    </rPh>
    <phoneticPr fontId="2"/>
  </si>
  <si>
    <t>引数が2つのメソッドに@ShardWithAccount、シャーディング対象となる引数に@ShardAccountを付与し、シャーディングしたDBにて読み込みができることを確認する。</t>
    <phoneticPr fontId="2"/>
  </si>
  <si>
    <t>引数が2つのメソッドに@ShardWithAccount、シャーディング対象となる引数に@ShardAccountを付与し、シャーディングしたDBにて更新ができることを確認する。</t>
    <phoneticPr fontId="2"/>
  </si>
  <si>
    <t>引数が2つのメソッドに@ShardWithAccount、シャーディング対象となる引数に@ShardAccountを付与し、シャーディングしたDBにて削除ができることを確認する。</t>
    <rPh sb="75" eb="77">
      <t>サクジョ</t>
    </rPh>
    <phoneticPr fontId="2"/>
  </si>
  <si>
    <t>デフォルトDBにて書き込みできること</t>
    <rPh sb="9" eb="10">
      <t>カ</t>
    </rPh>
    <rPh sb="11" eb="12">
      <t>コ</t>
    </rPh>
    <phoneticPr fontId="2"/>
  </si>
  <si>
    <t>デフォルトDBにて読み込みができること</t>
    <rPh sb="9" eb="10">
      <t>ヨ</t>
    </rPh>
    <rPh sb="11" eb="12">
      <t>コ</t>
    </rPh>
    <phoneticPr fontId="2"/>
  </si>
  <si>
    <t>デフォルトDBにて更新ができること</t>
    <rPh sb="9" eb="11">
      <t>コウシン</t>
    </rPh>
    <phoneticPr fontId="2"/>
  </si>
  <si>
    <t>デフォルトDBにて削除ができること</t>
    <rPh sb="9" eb="11">
      <t>サクジョ</t>
    </rPh>
    <phoneticPr fontId="2"/>
  </si>
  <si>
    <t>正常</t>
  </si>
  <si>
    <t>・シャード用DBが作成されていること
・DynamoDBにシャードキー解決用のテーブルがあること</t>
    <rPh sb="5" eb="6">
      <t>ヨウ</t>
    </rPh>
    <rPh sb="9" eb="11">
      <t>サクセイ</t>
    </rPh>
    <rPh sb="35" eb="38">
      <t>カイケツヨウ</t>
    </rPh>
    <phoneticPr fontId="2"/>
  </si>
  <si>
    <t>・functionaltest_shard1のRESERVATIONテーブルのREP_CUSTOMER_NOカラムが、偶数のみであること
・functionaltest_shard2のRESERVATIONテーブルのREP_CUSTOMER_NOカラムが、奇数のみであること</t>
    <rPh sb="59" eb="61">
      <t>グウスウ</t>
    </rPh>
    <rPh sb="128" eb="130">
      <t>キスウ</t>
    </rPh>
    <phoneticPr fontId="2"/>
  </si>
  <si>
    <t>JUnit:○</t>
  </si>
  <si>
    <t>引数が1つのメソッドに@ShardWithAccountを付与し、シャーディングしたDBにて予約番号が偶数の予約情報を1つ指定し、予約情報の更新ができることを確認する。</t>
    <rPh sb="61" eb="63">
      <t>シテイ</t>
    </rPh>
    <rPh sb="65" eb="69">
      <t>ヨヤクジョウホウ</t>
    </rPh>
    <rPh sb="70" eb="72">
      <t>コウシン</t>
    </rPh>
    <rPh sb="79" eb="81">
      <t>カクニン</t>
    </rPh>
    <phoneticPr fontId="2"/>
  </si>
  <si>
    <t xml:space="preserve">引数が1つのメソッドに@ShardWithAccountを付与し、シャーディングしたDBにて、予約番号が偶数の予約情報を1つ指定し、予約情報を読み込めることを確認する。
</t>
    <rPh sb="71" eb="72">
      <t>ヨ</t>
    </rPh>
    <rPh sb="73" eb="74">
      <t>コ</t>
    </rPh>
    <rPh sb="79" eb="81">
      <t>カクニン</t>
    </rPh>
    <phoneticPr fontId="2"/>
  </si>
  <si>
    <t xml:space="preserve">引数が1つのメソッドに@ShardWithAccountを付与し、シャーディングしたDBにて、予約番号が奇数の予約情報を1つ指定し、予約情報を読み込めることを確認する。
</t>
    <rPh sb="52" eb="54">
      <t>キスウ</t>
    </rPh>
    <rPh sb="66" eb="68">
      <t>ヨヤク</t>
    </rPh>
    <rPh sb="71" eb="72">
      <t>ヨ</t>
    </rPh>
    <rPh sb="73" eb="74">
      <t>コ</t>
    </rPh>
    <rPh sb="79" eb="81">
      <t>カクニン</t>
    </rPh>
    <phoneticPr fontId="2"/>
  </si>
  <si>
    <t>・functionaltest_shard1のRESERVATIONテーブルに削除した予約情報が存在しないこと
・functionaltest_shard2のRESERVATIONテーブルに削除した予約情報が存在しないこと</t>
    <rPh sb="39" eb="41">
      <t>サクジョ</t>
    </rPh>
    <rPh sb="43" eb="47">
      <t>ヨヤクジョウホウ</t>
    </rPh>
    <rPh sb="48" eb="50">
      <t>ソンザイ</t>
    </rPh>
    <rPh sb="95" eb="97">
      <t>サクジョ</t>
    </rPh>
    <phoneticPr fontId="2"/>
  </si>
  <si>
    <t>PostgreSQL(user:postgres, username:postgres)に以下のDBが存在すること
functionaltest
functionaltest_shard1
functionaltest_shard2
DynamoDBに以下のテーブルが存在すること
functionaltestShardAccount</t>
    <rPh sb="45" eb="47">
      <t>イカ</t>
    </rPh>
    <rPh sb="51" eb="53">
      <t>ソンザイ</t>
    </rPh>
    <rPh sb="126" eb="128">
      <t>イカ</t>
    </rPh>
    <rPh sb="134" eb="136">
      <t>ソンザイ</t>
    </rPh>
    <phoneticPr fontId="2"/>
  </si>
  <si>
    <t>PostgreSQL(user:postgres, username:postgres)に以下のテーブルが存在すること
functionaltest
functionaltest_shard1
functionaltest_shard2
DynamoDBに以下のテーブルが存在すること
functionaltestShardAccount</t>
    <rPh sb="45" eb="47">
      <t>イカ</t>
    </rPh>
    <rPh sb="53" eb="55">
      <t>ソンザイ</t>
    </rPh>
    <rPh sb="128" eb="130">
      <t>イカ</t>
    </rPh>
    <rPh sb="136" eb="138">
      <t>ソンザイ</t>
    </rPh>
    <phoneticPr fontId="2"/>
  </si>
  <si>
    <t>functionaltest_shard1のRESERVATIONテーブルのREP_CUSTOMER_NOカラムが、偶数となっている予約情報が1件以上あること</t>
    <rPh sb="58" eb="60">
      <t>グウスウ</t>
    </rPh>
    <phoneticPr fontId="2"/>
  </si>
  <si>
    <t>functionaltest_shard2のRESERVATIONテーブルのREP_CUSTOMER_NOカラムが、奇数となっている予約情報が1件以上あること</t>
    <rPh sb="66" eb="70">
      <t>ヨヤクジョウホウ</t>
    </rPh>
    <phoneticPr fontId="2"/>
  </si>
  <si>
    <t>引数が2つのメソッドに@ShardWithAccount、シャーディング対象となる引数に@ShardAccountを付与し、シャーディングしたDBにて、予約番号が偶数の予約情報を1つ指定し読み込みができることを確認する。</t>
    <phoneticPr fontId="2"/>
  </si>
  <si>
    <t>引数が2つのメソッドに@ShardWithAccount、シャーディング対象となる引数に@ShardAccountを付与し、シャーディングしたDBにて、予約番号が奇数の予約情報を1つ指定し、読み込みができることを確認する。</t>
    <rPh sb="81" eb="83">
      <t>キスウ</t>
    </rPh>
    <phoneticPr fontId="2"/>
  </si>
  <si>
    <t>引数が2つのメソッドに@ShardWithAccount、シャーディング対象となる引数に@ShardAccountを付与し、シャーディングしたDBにて、予約番号が偶数の予約情報を1つ指定し、削除ができることを確認する。</t>
    <rPh sb="95" eb="97">
      <t>サクジョ</t>
    </rPh>
    <phoneticPr fontId="2"/>
  </si>
  <si>
    <t>引数が1つのメソッドに@ShardWithAccountを付与し、シャーディングしたDBにて、予約番号が奇数の予約情報を1つ指定し、予約情報の更新ができることを確認する。</t>
    <rPh sb="52" eb="54">
      <t>キスウ</t>
    </rPh>
    <rPh sb="62" eb="64">
      <t>シテイ</t>
    </rPh>
    <rPh sb="66" eb="70">
      <t>ヨヤクジョウホウ</t>
    </rPh>
    <rPh sb="71" eb="73">
      <t>コウシン</t>
    </rPh>
    <rPh sb="80" eb="82">
      <t>カクニン</t>
    </rPh>
    <phoneticPr fontId="2"/>
  </si>
  <si>
    <t>引数が1つのメソッドに@ShardWithAccountを付与し、シャーディングしたDBにて。予約番号が偶数の予約情報を1つ指定し、予約情報の削除ができることを確認する。</t>
    <rPh sb="66" eb="70">
      <t>ヨヤクジョウホウ</t>
    </rPh>
    <rPh sb="71" eb="73">
      <t>サクジョ</t>
    </rPh>
    <rPh sb="80" eb="82">
      <t>カクニン</t>
    </rPh>
    <phoneticPr fontId="2"/>
  </si>
  <si>
    <t>引数が1つのメソッドに@ShardWithAccountを付与し、シャーディングしたDBにて、予約番号が奇数の予約情報を1つ指定し、予約情報の削除ができることを確認する。</t>
    <rPh sb="52" eb="54">
      <t>キスウ</t>
    </rPh>
    <rPh sb="66" eb="70">
      <t>ヨヤクジョウホウ</t>
    </rPh>
    <rPh sb="71" eb="73">
      <t>サクジョ</t>
    </rPh>
    <rPh sb="80" eb="82">
      <t>カクニン</t>
    </rPh>
    <phoneticPr fontId="2"/>
  </si>
  <si>
    <t>引数が2つのメソッドに@ShardWithAccount、シャーディング対象となる引数に@ShardAccountを付与し、シャーディングしたDBにて、予約番号が偶数の予約情報を1つ指定し、更新ができることを確認する。</t>
    <rPh sb="81" eb="83">
      <t>グウスウ</t>
    </rPh>
    <rPh sb="95" eb="97">
      <t>コウシン</t>
    </rPh>
    <phoneticPr fontId="2"/>
  </si>
  <si>
    <t>引数が2つのメソッドに@ShardWithAccount、シャーディング対象となる引数に@ShardAccountを付与し、シャーディングしたDBにて、予約番号が奇数の予約情報を1つ指定し、更新ができることを確認する。</t>
    <rPh sb="81" eb="83">
      <t>キスウ</t>
    </rPh>
    <rPh sb="95" eb="97">
      <t>コウシン</t>
    </rPh>
    <phoneticPr fontId="2"/>
  </si>
  <si>
    <t>引数が2つのメソッドに@ShardWithAccount、シャーディング対象となる引数に@ShardAccountを付与し、シャーディングしたDBにて、予約番号が奇数の予約情報を1つ指定し、削除ができることを確認する。</t>
    <rPh sb="81" eb="83">
      <t>キスウ</t>
    </rPh>
    <rPh sb="95" eb="97">
      <t>サクジョ</t>
    </rPh>
    <phoneticPr fontId="2"/>
  </si>
  <si>
    <t>・シャード用DBが作成されていること
・DynamoDBにシャードキー解決用のテーブルがあること</t>
    <rPh sb="9" eb="11">
      <t>サクセイ</t>
    </rPh>
    <rPh sb="35" eb="38">
      <t>カイケツヨウ</t>
    </rPh>
    <phoneticPr fontId="2"/>
  </si>
  <si>
    <t>・functionaltestのMEMBERテーブルに会員情報が登録されていること</t>
    <rPh sb="27" eb="31">
      <t>カイインジョウホウ</t>
    </rPh>
    <rPh sb="32" eb="34">
      <t>トウロク</t>
    </rPh>
    <phoneticPr fontId="2"/>
  </si>
  <si>
    <t>・functionaltestのMEMBERテーブルから会員情報が取得できること</t>
    <rPh sb="28" eb="32">
      <t>カイインジョウホウ</t>
    </rPh>
    <rPh sb="33" eb="35">
      <t>シュトク</t>
    </rPh>
    <phoneticPr fontId="2"/>
  </si>
  <si>
    <t>・functionaltestのMEMBERテーブルから更新後の会員情報を取得できること</t>
    <rPh sb="28" eb="31">
      <t>コウシンゴ</t>
    </rPh>
    <rPh sb="32" eb="36">
      <t>カイインジョウホウ</t>
    </rPh>
    <rPh sb="37" eb="39">
      <t>シュトク</t>
    </rPh>
    <phoneticPr fontId="2"/>
  </si>
  <si>
    <t>・functionaltestのMEMBERテーブルから会員情報を削除できること</t>
    <rPh sb="28" eb="32">
      <t>カイインジョウホウ</t>
    </rPh>
    <rPh sb="33" eb="35">
      <t>サクジョ</t>
    </rPh>
    <phoneticPr fontId="2"/>
  </si>
  <si>
    <t xml:space="preserve">・予約番号が偶数の予約情報を1つ指定したときに、予約情報をfunctionaltest_shard1のRESERVATIONテーブルから取得できること。
</t>
    <rPh sb="1" eb="5">
      <t>ヨヤクバンゴウ</t>
    </rPh>
    <rPh sb="6" eb="8">
      <t>グウスウ</t>
    </rPh>
    <rPh sb="9" eb="13">
      <t>ヨヤクジョウホウ</t>
    </rPh>
    <rPh sb="16" eb="18">
      <t>シテイ</t>
    </rPh>
    <rPh sb="24" eb="28">
      <t>ヨヤクジョウホウ</t>
    </rPh>
    <rPh sb="68" eb="70">
      <t>シュトク</t>
    </rPh>
    <phoneticPr fontId="2"/>
  </si>
  <si>
    <t xml:space="preserve">・予約番号が奇数の予約情報を1つ指定したときに、予約情報をfunctionaltest_shard2のRESERVATIONテーブルから取得できること。
</t>
    <rPh sb="1" eb="5">
      <t>ヨヤクバンゴウ</t>
    </rPh>
    <rPh sb="6" eb="8">
      <t>キスウ</t>
    </rPh>
    <rPh sb="9" eb="13">
      <t>ヨヤクジョウホウ</t>
    </rPh>
    <rPh sb="16" eb="18">
      <t>シテイ</t>
    </rPh>
    <rPh sb="24" eb="28">
      <t>ヨヤクジョウホウ</t>
    </rPh>
    <rPh sb="68" eb="70">
      <t>シュトク</t>
    </rPh>
    <phoneticPr fontId="2"/>
  </si>
  <si>
    <t xml:space="preserve">・予約番号が偶数の予約情報を1つ指定したときに、更新後の予約情報をfunctionaltest_shard1のRESERVATIONテーブルから取得できること。
</t>
    <rPh sb="1" eb="5">
      <t>ヨヤクバンゴウ</t>
    </rPh>
    <rPh sb="6" eb="8">
      <t>グウスウ</t>
    </rPh>
    <rPh sb="9" eb="13">
      <t>ヨヤクジョウホウ</t>
    </rPh>
    <rPh sb="16" eb="18">
      <t>シテイ</t>
    </rPh>
    <rPh sb="24" eb="27">
      <t>コウシンゴ</t>
    </rPh>
    <rPh sb="28" eb="32">
      <t>ヨヤクジョウホウ</t>
    </rPh>
    <rPh sb="72" eb="74">
      <t>シュトク</t>
    </rPh>
    <phoneticPr fontId="2"/>
  </si>
  <si>
    <t xml:space="preserve">・予約番号が奇数の予約情報を1つ指定したときに、更新後の予約情報をfunctionaltest_shard2のRESERVATIONテーブルから取得できること。
</t>
    <rPh sb="1" eb="5">
      <t>ヨヤクバンゴウ</t>
    </rPh>
    <rPh sb="6" eb="8">
      <t>キスウ</t>
    </rPh>
    <rPh sb="9" eb="13">
      <t>ヨヤクジョウホウ</t>
    </rPh>
    <rPh sb="16" eb="18">
      <t>シテイ</t>
    </rPh>
    <rPh sb="24" eb="27">
      <t>コウシンゴ</t>
    </rPh>
    <rPh sb="28" eb="32">
      <t>ヨヤクジョウホウ</t>
    </rPh>
    <rPh sb="72" eb="74">
      <t>シュトク</t>
    </rPh>
    <phoneticPr fontId="2"/>
  </si>
  <si>
    <t>小松原 健</t>
    <rPh sb="0" eb="3">
      <t>コマツバラ</t>
    </rPh>
    <rPh sb="4" eb="5">
      <t>ケン</t>
    </rPh>
    <phoneticPr fontId="2"/>
  </si>
  <si>
    <t>引数が2つのメソッドに@ShardWithAccount、シャーディング対象となる引数に@ShardAccountを付与し、DBにシャーディングして会員番号が0000000001～0000000004となっている予約情報を各1件づつ登録できることを確認する。</t>
    <rPh sb="124" eb="126">
      <t>カクニン</t>
    </rPh>
    <phoneticPr fontId="2"/>
  </si>
  <si>
    <t>引数が1つのメソッドに@ShardWithAccountを付与し、DBにシャーディングして、会員番号が0000000001～0000000004となっている予約情報を各1件づつ登録できることを確認する。</t>
    <rPh sb="83" eb="84">
      <t>カク</t>
    </rPh>
    <rPh sb="96" eb="98">
      <t>カクニン</t>
    </rPh>
    <phoneticPr fontId="2"/>
  </si>
  <si>
    <t>functionaltestのMEMBERテーブルにレコードが1件以上存在すること</t>
    <rPh sb="32" eb="35">
      <t>ケンイジョウ</t>
    </rPh>
    <rPh sb="35" eb="37">
      <t>ソンザイ</t>
    </rPh>
    <phoneticPr fontId="2"/>
  </si>
  <si>
    <t>Serviceクラスの引数がないメソッドに@ShardWithAccountを付与し、デフォルトDBにアクセスすること</t>
    <rPh sb="11" eb="12">
      <t>ヒキスウ</t>
    </rPh>
    <phoneticPr fontId="2"/>
  </si>
  <si>
    <t>Serviceクラスの引数が1つのメソッドに@ShardWithAccountを付与し、CRUD処理時にシャーディングしていること</t>
    <rPh sb="10" eb="11">
      <t>ヒキスウ</t>
    </rPh>
    <rPh sb="49" eb="50">
      <t>ジ</t>
    </rPh>
    <phoneticPr fontId="2"/>
  </si>
  <si>
    <t>Serviceクラスの引数が2つのメソッドに@ShardWithAccount、シャーディング対象となる引数に@ShardAccountを付与し、CRUD処理時にシャーディングしていること</t>
    <rPh sb="45" eb="47">
      <t>タイショウ</t>
    </rPh>
    <rPh sb="50" eb="52">
      <t>ヒキスウ</t>
    </rPh>
    <rPh sb="67" eb="69">
      <t>フヨ</t>
    </rPh>
    <rPh sb="77" eb="78">
      <t>ジ</t>
    </rPh>
    <phoneticPr fontId="2"/>
  </si>
  <si>
    <t>Serviceクラスの@ShardWithAccountが付与されていないメソッドで、シャーディングせずに、デフォルトDBにてCRUD処理を行っていること</t>
    <rPh sb="28" eb="30">
      <t>フヨ</t>
    </rPh>
    <rPh sb="66" eb="68">
      <t>ショリ</t>
    </rPh>
    <rPh sb="69" eb="70">
      <t>オコナ</t>
    </rPh>
    <phoneticPr fontId="2"/>
  </si>
  <si>
    <t>Serviceクラスの引数がないメソッドに@ShardWithAccountを付与し、デフォルトDBに削除ができること</t>
    <rPh sb="51" eb="53">
      <t>サクジョ</t>
    </rPh>
    <phoneticPr fontId="2"/>
  </si>
  <si>
    <t>・シャード用DBが作成されていること
・DynamoDBにシャードキー解決用のテーブルがあること
・@ShardWithAccountを引数なしのメソッドに付与していること</t>
    <rPh sb="9" eb="11">
      <t>サクセイ</t>
    </rPh>
    <rPh sb="35" eb="38">
      <t>カイケツヨウ</t>
    </rPh>
    <rPh sb="68" eb="70">
      <t>ヒキスウ</t>
    </rPh>
    <rPh sb="78" eb="80">
      <t>フヨ</t>
    </rPh>
    <phoneticPr fontId="2"/>
  </si>
  <si>
    <t>・functionaltestのMEMBERテーブルの会員情報が全件削除されていること</t>
    <rPh sb="27" eb="31">
      <t>カイインジョウホウ</t>
    </rPh>
    <rPh sb="32" eb="36">
      <t>ゼンケンサクジョ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</si>
</sst>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10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6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176" fontId="6" fillId="0" borderId="3" xfId="2" applyNumberFormat="1" applyFill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176" fontId="6" fillId="0" borderId="4" xfId="2" applyNumberFormat="1" applyFill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3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5" fillId="4" borderId="3" xfId="1" applyFill="1" applyBorder="1" applyAlignment="1" applyProtection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0" fillId="0" borderId="0" xfId="0" quotePrefix="1" applyAlignment="1">
      <alignment vertical="center" wrapText="1"/>
    </xf>
    <xf numFmtId="0" fontId="0" fillId="0" borderId="1" xfId="0" quotePrefix="1" applyBorder="1" applyAlignment="1">
      <alignment horizontal="left" vertical="top" wrapText="1"/>
    </xf>
    <xf numFmtId="0" fontId="9" fillId="0" borderId="0" xfId="0" quotePrefix="1" applyFont="1" applyAlignment="1">
      <alignment vertical="center" wrapText="1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 applyAlignment="1">
      <alignment vertical="center" wrapText="1"/>
    </xf>
    <xf numFmtId="0" fontId="6" fillId="0" borderId="2" xfId="2" applyBorder="1" applyAlignment="1">
      <alignment horizontal="left" vertical="top" wrapText="1"/>
    </xf>
    <xf numFmtId="0" fontId="0" fillId="0" borderId="2" xfId="0" quotePrefix="1" applyBorder="1" applyAlignment="1">
      <alignment horizontal="left" vertical="top" wrapText="1"/>
    </xf>
    <xf numFmtId="49" fontId="6" fillId="0" borderId="2" xfId="2" applyNumberFormat="1" applyBorder="1" applyAlignment="1">
      <alignment horizontal="left" vertical="top" wrapText="1"/>
    </xf>
    <xf numFmtId="49" fontId="6" fillId="0" borderId="2" xfId="2" applyNumberFormat="1" applyFill="1" applyBorder="1" applyAlignment="1">
      <alignment horizontal="left" vertical="top" wrapText="1"/>
    </xf>
    <xf numFmtId="14" fontId="6" fillId="0" borderId="2" xfId="2" applyNumberFormat="1" applyBorder="1" applyAlignment="1">
      <alignment horizontal="center" vertical="top" wrapText="1"/>
    </xf>
    <xf numFmtId="0" fontId="6" fillId="0" borderId="0" xfId="2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top" wrapText="1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  <xf numFmtId="0" fontId="0" fillId="0" borderId="13" xfId="0" quotePrefix="1" applyBorder="1" applyAlignment="1">
      <alignment vertical="center" wrapText="1"/>
    </xf>
  </cellXfs>
  <cellStyles count="3">
    <cellStyle name="ハイパーリンク" xfId="1" builtinId="8"/>
    <cellStyle name="標準" xfId="0" builtinId="0"/>
    <cellStyle name="標準 2" xfId="2"/>
  </cellStyles>
  <dxfs count="181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7"/>
  <sheetViews>
    <sheetView zoomScale="80" zoomScaleNormal="80" workbookViewId="0">
      <pane ySplit="4" topLeftCell="A5" activePane="bottomLeft" state="frozen"/>
      <selection pane="bottomLeft" activeCell="D17" sqref="D17"/>
    </sheetView>
  </sheetViews>
  <sheetFormatPr defaultRowHeight="13.5" x14ac:dyDescent="0.15"/>
  <cols>
    <col min="1" max="1" width="9.75" bestFit="1" customWidth="1"/>
    <col min="2" max="2" width="41.25" customWidth="1"/>
    <col min="3" max="3" width="13.625" customWidth="1"/>
    <col min="4" max="4" width="75" customWidth="1"/>
  </cols>
  <sheetData>
    <row r="1" spans="1:4" x14ac:dyDescent="0.15">
      <c r="A1" s="1" t="s">
        <v>0</v>
      </c>
      <c r="B1" s="2" t="s">
        <v>25</v>
      </c>
      <c r="C1" s="29" t="s">
        <v>24</v>
      </c>
    </row>
    <row r="2" spans="1:4" x14ac:dyDescent="0.15">
      <c r="A2" s="3" t="s">
        <v>1</v>
      </c>
      <c r="B2" s="2" t="s">
        <v>26</v>
      </c>
      <c r="C2" s="2">
        <f>SUM(DTSH01!C2,DTSH02!C2,DTSH03!C2)</f>
        <v>18</v>
      </c>
    </row>
    <row r="4" spans="1:4" x14ac:dyDescent="0.15">
      <c r="A4" s="4" t="s">
        <v>2</v>
      </c>
      <c r="B4" s="4" t="s">
        <v>3</v>
      </c>
      <c r="C4" s="4" t="s">
        <v>4</v>
      </c>
      <c r="D4" s="4" t="s">
        <v>5</v>
      </c>
    </row>
    <row r="5" spans="1:4" ht="40.5" x14ac:dyDescent="0.15">
      <c r="A5" s="24" t="s">
        <v>27</v>
      </c>
      <c r="B5" s="31" t="s">
        <v>75</v>
      </c>
      <c r="C5" s="28" t="str">
        <f>IF(B5="",($B$1&amp;TEXT(IF(B5="",COUNTA($B$5:B5),1),"00")),A5)&amp;IF(B5&lt;&gt;"",TEXT(1,"00"),TEXT(IF(A5&lt;&gt;"",1,RIGHT(C4,2)+1),"00"))</f>
        <v>DTSH0101</v>
      </c>
      <c r="D5" s="32" t="s">
        <v>28</v>
      </c>
    </row>
    <row r="6" spans="1:4" ht="27" x14ac:dyDescent="0.15">
      <c r="A6" s="25" t="str">
        <f>IF(B6="","",($B$1&amp;TEXT(IF(B6="","",COUNTA($B$5:B6)),"00")))</f>
        <v/>
      </c>
      <c r="B6" s="23"/>
      <c r="C6" s="28" t="str">
        <f>IF(B6="",($B$1&amp;TEXT(IF(B6="",COUNTA($B$5:B6),1),"00")),A6)&amp;IF(B6&lt;&gt;"",TEXT(1,"00"),TEXT(IF(A6&lt;&gt;"",1,RIGHT(C5,2)+1),"00"))</f>
        <v>DTSH0102</v>
      </c>
      <c r="D6" s="32" t="s">
        <v>31</v>
      </c>
    </row>
    <row r="7" spans="1:4" ht="27" x14ac:dyDescent="0.15">
      <c r="A7" s="25" t="str">
        <f>IF(B7="","",($B$1&amp;TEXT(IF(B7="","",COUNTA($B$5:B7)),"00")))</f>
        <v/>
      </c>
      <c r="B7" s="23"/>
      <c r="C7" s="28" t="str">
        <f>IF(B7="",($B$1&amp;TEXT(IF(B7="",COUNTA($B$5:B7),1),"00")),A7)&amp;IF(B7&lt;&gt;"",TEXT(1,"00"),TEXT(IF(A7&lt;&gt;"",1,RIGHT(C6,2)+1),"00"))</f>
        <v>DTSH0103</v>
      </c>
      <c r="D7" s="32" t="s">
        <v>29</v>
      </c>
    </row>
    <row r="8" spans="1:4" ht="27" x14ac:dyDescent="0.15">
      <c r="A8" s="24" t="str">
        <f>IF(B8="","",($B$1&amp;TEXT(IF(B8="","",COUNTA($B$5:B8)),"00")))</f>
        <v/>
      </c>
      <c r="B8" s="23"/>
      <c r="C8" s="28" t="str">
        <f>IF(B8="",($B$1&amp;TEXT(IF(B8="",COUNTA($B$5:B8),1),"00")),A8)&amp;IF(B8&lt;&gt;"",TEXT(1,"00"),TEXT(IF(A8&lt;&gt;"",1,RIGHT(C7,2)+1),"00"))</f>
        <v>DTSH0104</v>
      </c>
      <c r="D8" s="32" t="s">
        <v>30</v>
      </c>
    </row>
    <row r="9" spans="1:4" ht="54" x14ac:dyDescent="0.15">
      <c r="A9" s="25" t="str">
        <f>IF(B9="","",($B$1&amp;TEXT(IF(B9="","",COUNTA($B$5:B9)),"00")))</f>
        <v>DTSH02</v>
      </c>
      <c r="B9" s="31" t="s">
        <v>76</v>
      </c>
      <c r="C9" s="28" t="str">
        <f>IF(B9="",($B$1&amp;TEXT(IF(B9="",COUNTA($B$5:B9),1),"00")),A9)&amp;IF(B9&lt;&gt;"",TEXT(1,"00"),TEXT(IF(A9&lt;&gt;"",1,RIGHT(C8,2)+1),"00"))</f>
        <v>DTSH0201</v>
      </c>
      <c r="D9" s="32" t="s">
        <v>32</v>
      </c>
    </row>
    <row r="10" spans="1:4" ht="27" x14ac:dyDescent="0.15">
      <c r="A10" s="26" t="str">
        <f>IF(B10="","",($B$1&amp;TEXT(IF(B10="","",COUNTA($B$5:B10)),"00")))</f>
        <v/>
      </c>
      <c r="B10" s="23"/>
      <c r="C10" s="28" t="str">
        <f>IF(B10="",($B$1&amp;TEXT(IF(B10="",COUNTA($B$5:B10),1),"00")),A10)&amp;IF(B10&lt;&gt;"",TEXT(1,"00"),TEXT(IF(A10&lt;&gt;"",1,RIGHT(C9,2)+1),"00"))</f>
        <v>DTSH0202</v>
      </c>
      <c r="D10" s="32" t="s">
        <v>33</v>
      </c>
    </row>
    <row r="11" spans="1:4" ht="27" x14ac:dyDescent="0.15">
      <c r="A11" s="25" t="str">
        <f>IF(B11="","",($B$1&amp;TEXT(IF(B11="","",COUNTA($B$5:B11)),"00")))</f>
        <v/>
      </c>
      <c r="B11" s="23"/>
      <c r="C11" s="28" t="str">
        <f>IF(B11="",($B$1&amp;TEXT(IF(B11="",COUNTA($B$5:B11),1),"00")),A11)&amp;IF(B11&lt;&gt;"",TEXT(1,"00"),TEXT(IF(A11&lt;&gt;"",1,RIGHT(C10,2)+1),"00"))</f>
        <v>DTSH0203</v>
      </c>
      <c r="D11" s="32" t="s">
        <v>34</v>
      </c>
    </row>
    <row r="12" spans="1:4" ht="27" x14ac:dyDescent="0.15">
      <c r="A12" s="25" t="str">
        <f>IF(B12="","",($B$1&amp;TEXT(IF(B12="","",COUNTA($B$5:B12)),"00")))</f>
        <v/>
      </c>
      <c r="B12" s="23"/>
      <c r="C12" s="28" t="str">
        <f>IF(B12="",($B$1&amp;TEXT(IF(B12="",COUNTA($B$5:B12),1),"00")),A12)&amp;IF(B12&lt;&gt;"",TEXT(1,"00"),TEXT(IF(A12&lt;&gt;"",1,RIGHT(C11,2)+1),"00"))</f>
        <v>DTSH0204</v>
      </c>
      <c r="D12" s="32" t="s">
        <v>35</v>
      </c>
    </row>
    <row r="13" spans="1:4" ht="40.5" x14ac:dyDescent="0.15">
      <c r="A13" s="25" t="str">
        <f>IF(B13="","",($B$1&amp;TEXT(IF(B13="","",COUNTA($B$5:B13)),"00")))</f>
        <v>DTSH03</v>
      </c>
      <c r="B13" s="33" t="s">
        <v>77</v>
      </c>
      <c r="C13" s="28" t="str">
        <f>IF(B13="",($B$1&amp;TEXT(IF(B13="",COUNTA($B$5:B13),1),"00")),A13)&amp;IF(B13&lt;&gt;"",TEXT(1,"00"),TEXT(IF(A13&lt;&gt;"",1,RIGHT(C12,2)+1),"00"))</f>
        <v>DTSH0301</v>
      </c>
      <c r="D13" s="5" t="s">
        <v>36</v>
      </c>
    </row>
    <row r="14" spans="1:4" x14ac:dyDescent="0.15">
      <c r="A14" s="25" t="str">
        <f>IF(B14="","",($B$1&amp;TEXT(IF(B14="","",COUNTA($B$5:B14)),"00")))</f>
        <v/>
      </c>
      <c r="B14" s="23"/>
      <c r="C14" s="28" t="str">
        <f>IF(B14="",($B$1&amp;TEXT(IF(B14="",COUNTA($B$5:B14),1),"00")),A14)&amp;IF(B14&lt;&gt;"",TEXT(1,"00"),TEXT(IF(A14&lt;&gt;"",1,RIGHT(C13,2)+1),"00"))</f>
        <v>DTSH0302</v>
      </c>
      <c r="D14" s="5" t="s">
        <v>37</v>
      </c>
    </row>
    <row r="15" spans="1:4" x14ac:dyDescent="0.15">
      <c r="A15" s="25" t="str">
        <f>IF(B15="","",($B$1&amp;TEXT(IF(B15="","",COUNTA($B$5:B15)),"00")))</f>
        <v/>
      </c>
      <c r="B15" s="35"/>
      <c r="C15" s="28" t="str">
        <f>IF(B15="",($B$1&amp;TEXT(IF(B15="",COUNTA($B$5:B15),1),"00")),A15)&amp;IF(B15&lt;&gt;"",TEXT(1,"00"),TEXT(IF(A15&lt;&gt;"",1,RIGHT(C14,2)+1),"00"))</f>
        <v>DTSH0303</v>
      </c>
      <c r="D15" s="2" t="s">
        <v>38</v>
      </c>
    </row>
    <row r="16" spans="1:4" x14ac:dyDescent="0.15">
      <c r="A16" s="25" t="str">
        <f>IF(B16="","",($B$1&amp;TEXT(IF(B16="","",COUNTA($B$5:B16)),"00")))</f>
        <v/>
      </c>
      <c r="B16" s="34"/>
      <c r="C16" s="28" t="str">
        <f>IF(B16="",($B$1&amp;TEXT(IF(B16="",COUNTA($B$5:B16),1),"00")),A16)&amp;IF(B16&lt;&gt;"",TEXT(1,"00"),TEXT(IF(A16&lt;&gt;"",1,RIGHT(C15,2)+1),"00"))</f>
        <v>DTSH0304</v>
      </c>
      <c r="D16" s="2" t="s">
        <v>39</v>
      </c>
    </row>
    <row r="17" spans="1:4" ht="40.5" x14ac:dyDescent="0.15">
      <c r="A17" s="27" t="str">
        <f>IF(B17="","",($B$1&amp;TEXT(IF(B17="","",COUNTA($B$5:B17)),"00")))</f>
        <v>DTSH04</v>
      </c>
      <c r="B17" s="59" t="s">
        <v>74</v>
      </c>
      <c r="C17" s="28" t="str">
        <f>IF(B17="",($B$1&amp;TEXT(IF(B17="",COUNTA($B$5:B17),1),"00")),A17)&amp;IF(B17&lt;&gt;"",TEXT(1,"00"),TEXT(IF(A17&lt;&gt;"",1,RIGHT(C16,2)+1),"00"))</f>
        <v>DTSH0401</v>
      </c>
      <c r="D17" s="32" t="s">
        <v>78</v>
      </c>
    </row>
  </sheetData>
  <phoneticPr fontId="2"/>
  <conditionalFormatting sqref="B5">
    <cfRule type="expression" dxfId="180" priority="46">
      <formula>B5&lt;&gt;""</formula>
    </cfRule>
  </conditionalFormatting>
  <conditionalFormatting sqref="B6">
    <cfRule type="expression" dxfId="179" priority="45">
      <formula>B6&lt;&gt;""</formula>
    </cfRule>
  </conditionalFormatting>
  <conditionalFormatting sqref="B7">
    <cfRule type="expression" dxfId="178" priority="44">
      <formula>B7&lt;&gt;""</formula>
    </cfRule>
  </conditionalFormatting>
  <conditionalFormatting sqref="B8">
    <cfRule type="expression" dxfId="177" priority="43">
      <formula>B8&lt;&gt;""</formula>
    </cfRule>
  </conditionalFormatting>
  <conditionalFormatting sqref="B14">
    <cfRule type="expression" dxfId="176" priority="37">
      <formula>B14&lt;&gt;""</formula>
    </cfRule>
  </conditionalFormatting>
  <conditionalFormatting sqref="B10">
    <cfRule type="expression" dxfId="175" priority="41">
      <formula>B10&lt;&gt;""</formula>
    </cfRule>
  </conditionalFormatting>
  <conditionalFormatting sqref="B11">
    <cfRule type="expression" dxfId="174" priority="40">
      <formula>B11&lt;&gt;""</formula>
    </cfRule>
  </conditionalFormatting>
  <conditionalFormatting sqref="B12">
    <cfRule type="expression" dxfId="173" priority="39">
      <formula>B12&lt;&gt;""</formula>
    </cfRule>
  </conditionalFormatting>
  <conditionalFormatting sqref="A5">
    <cfRule type="expression" dxfId="172" priority="36">
      <formula>A5&lt;&gt;""</formula>
    </cfRule>
  </conditionalFormatting>
  <conditionalFormatting sqref="A8">
    <cfRule type="expression" dxfId="171" priority="33">
      <formula>A8&lt;&gt;""</formula>
    </cfRule>
  </conditionalFormatting>
  <conditionalFormatting sqref="A9">
    <cfRule type="expression" dxfId="170" priority="32">
      <formula>A9&lt;&gt;""</formula>
    </cfRule>
  </conditionalFormatting>
  <conditionalFormatting sqref="A10">
    <cfRule type="expression" dxfId="169" priority="31">
      <formula>A10&lt;&gt;""</formula>
    </cfRule>
  </conditionalFormatting>
  <conditionalFormatting sqref="A11">
    <cfRule type="expression" dxfId="168" priority="30">
      <formula>A11&lt;&gt;""</formula>
    </cfRule>
  </conditionalFormatting>
  <conditionalFormatting sqref="A12">
    <cfRule type="expression" dxfId="167" priority="29">
      <formula>A12&lt;&gt;""</formula>
    </cfRule>
  </conditionalFormatting>
  <conditionalFormatting sqref="A11">
    <cfRule type="expression" dxfId="166" priority="25">
      <formula>A11&lt;&gt;""</formula>
    </cfRule>
  </conditionalFormatting>
  <conditionalFormatting sqref="A14:A17">
    <cfRule type="expression" dxfId="165" priority="27">
      <formula>A14&lt;&gt;""</formula>
    </cfRule>
  </conditionalFormatting>
  <conditionalFormatting sqref="A14:A17">
    <cfRule type="expression" dxfId="164" priority="26">
      <formula>A14&lt;&gt;""</formula>
    </cfRule>
  </conditionalFormatting>
  <conditionalFormatting sqref="A12">
    <cfRule type="expression" dxfId="163" priority="24">
      <formula>A12&lt;&gt;""</formula>
    </cfRule>
  </conditionalFormatting>
  <conditionalFormatting sqref="A6">
    <cfRule type="expression" dxfId="162" priority="21">
      <formula>A6&lt;&gt;""</formula>
    </cfRule>
  </conditionalFormatting>
  <conditionalFormatting sqref="A7">
    <cfRule type="expression" dxfId="161" priority="20">
      <formula>A7&lt;&gt;""</formula>
    </cfRule>
  </conditionalFormatting>
  <conditionalFormatting sqref="A8">
    <cfRule type="expression" dxfId="160" priority="19">
      <formula>A8&lt;&gt;""</formula>
    </cfRule>
  </conditionalFormatting>
  <conditionalFormatting sqref="A9">
    <cfRule type="expression" dxfId="159" priority="18">
      <formula>A9&lt;&gt;""</formula>
    </cfRule>
  </conditionalFormatting>
  <conditionalFormatting sqref="A10">
    <cfRule type="expression" dxfId="158" priority="17">
      <formula>A10&lt;&gt;""</formula>
    </cfRule>
  </conditionalFormatting>
  <conditionalFormatting sqref="A11">
    <cfRule type="expression" dxfId="157" priority="16">
      <formula>A11&lt;&gt;""</formula>
    </cfRule>
  </conditionalFormatting>
  <conditionalFormatting sqref="A12">
    <cfRule type="expression" dxfId="156" priority="15">
      <formula>A12&lt;&gt;""</formula>
    </cfRule>
  </conditionalFormatting>
  <conditionalFormatting sqref="A9">
    <cfRule type="expression" dxfId="155" priority="11">
      <formula>A9&lt;&gt;""</formula>
    </cfRule>
  </conditionalFormatting>
  <conditionalFormatting sqref="A14:A17">
    <cfRule type="expression" dxfId="154" priority="13">
      <formula>A14&lt;&gt;""</formula>
    </cfRule>
  </conditionalFormatting>
  <conditionalFormatting sqref="A7">
    <cfRule type="expression" dxfId="153" priority="12">
      <formula>A7&lt;&gt;""</formula>
    </cfRule>
  </conditionalFormatting>
  <conditionalFormatting sqref="A11">
    <cfRule type="expression" dxfId="152" priority="10">
      <formula>A11&lt;&gt;""</formula>
    </cfRule>
  </conditionalFormatting>
  <conditionalFormatting sqref="A12">
    <cfRule type="expression" dxfId="151" priority="9">
      <formula>A12&lt;&gt;""</formula>
    </cfRule>
  </conditionalFormatting>
  <conditionalFormatting sqref="A14:A17">
    <cfRule type="expression" dxfId="150" priority="8">
      <formula>A14&lt;&gt;""</formula>
    </cfRule>
  </conditionalFormatting>
  <conditionalFormatting sqref="A14:A17">
    <cfRule type="expression" dxfId="149" priority="7">
      <formula>A14&lt;&gt;""</formula>
    </cfRule>
  </conditionalFormatting>
  <conditionalFormatting sqref="B9">
    <cfRule type="expression" dxfId="148" priority="6">
      <formula>B9&lt;&gt;""</formula>
    </cfRule>
  </conditionalFormatting>
  <conditionalFormatting sqref="B13">
    <cfRule type="expression" dxfId="147" priority="5">
      <formula>B13&lt;&gt;""</formula>
    </cfRule>
  </conditionalFormatting>
  <conditionalFormatting sqref="A13">
    <cfRule type="expression" dxfId="146" priority="4">
      <formula>A13&lt;&gt;""</formula>
    </cfRule>
  </conditionalFormatting>
  <conditionalFormatting sqref="A13">
    <cfRule type="expression" dxfId="145" priority="3">
      <formula>A13&lt;&gt;""</formula>
    </cfRule>
  </conditionalFormatting>
  <conditionalFormatting sqref="A13">
    <cfRule type="expression" dxfId="144" priority="2">
      <formula>A13&lt;&gt;""</formula>
    </cfRule>
  </conditionalFormatting>
  <conditionalFormatting sqref="B17">
    <cfRule type="expression" dxfId="36" priority="1">
      <formula>B17&lt;&gt;""</formula>
    </cfRule>
  </conditionalFormatting>
  <hyperlinks>
    <hyperlink ref="A10" location="PRPT01!A1" display="PRPT01!A1"/>
  </hyperlinks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zoomScale="70" zoomScaleNormal="70" workbookViewId="0">
      <pane ySplit="8" topLeftCell="A9" activePane="bottomLeft" state="frozen"/>
      <selection pane="bottomLeft" activeCell="D9" sqref="D9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45" t="s">
        <v>6</v>
      </c>
      <c r="B1" s="46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15">
      <c r="A2" s="47" t="s">
        <v>20</v>
      </c>
      <c r="B2" s="48"/>
      <c r="C2" s="51">
        <f>COUNTA($D$9:$D$65505)</f>
        <v>7</v>
      </c>
      <c r="D2" s="21" t="str">
        <f>大中項目!B1</f>
        <v>DTSH</v>
      </c>
      <c r="E2" s="19" t="str">
        <f>大中項目!A5</f>
        <v>DTSH01</v>
      </c>
      <c r="F2" s="9" t="s">
        <v>70</v>
      </c>
      <c r="G2" s="9"/>
      <c r="H2" s="8"/>
    </row>
    <row r="3" spans="1:10" x14ac:dyDescent="0.15">
      <c r="A3" s="49"/>
      <c r="B3" s="50"/>
      <c r="C3" s="52"/>
      <c r="D3" s="21" t="str">
        <f>大中項目!B2</f>
        <v>データベースシャーディング</v>
      </c>
      <c r="E3" s="19" t="str">
        <f>大中項目!B5</f>
        <v>Serviceクラスの引数が1つのメソッドに@ShardWithAccountを付与し、CRUD処理時にシャーディングしていること</v>
      </c>
      <c r="F3" s="9">
        <v>43031</v>
      </c>
      <c r="G3" s="9"/>
      <c r="H3" s="9"/>
    </row>
    <row r="4" spans="1:10" x14ac:dyDescent="0.15">
      <c r="A4" s="10"/>
      <c r="B4" s="10"/>
      <c r="C4" s="10"/>
      <c r="D4" s="10"/>
      <c r="E4" s="42"/>
      <c r="F4" s="10"/>
      <c r="G4" s="10"/>
      <c r="H4" s="10"/>
      <c r="I4" s="10"/>
    </row>
    <row r="5" spans="1:10" x14ac:dyDescent="0.15">
      <c r="A5" s="53" t="s">
        <v>13</v>
      </c>
      <c r="B5" s="54"/>
      <c r="C5" s="54"/>
      <c r="D5" s="54"/>
      <c r="E5" s="54"/>
      <c r="F5" s="54"/>
      <c r="G5" s="54"/>
      <c r="H5" s="54"/>
      <c r="I5" s="55"/>
    </row>
    <row r="6" spans="1:10" ht="42" customHeight="1" x14ac:dyDescent="0.15">
      <c r="A6" s="56" t="s">
        <v>14</v>
      </c>
      <c r="B6" s="57"/>
      <c r="C6" s="57"/>
      <c r="D6" s="57"/>
      <c r="E6" s="57"/>
      <c r="F6" s="57"/>
      <c r="G6" s="57"/>
      <c r="H6" s="57"/>
      <c r="I6" s="58"/>
    </row>
    <row r="7" spans="1:10" x14ac:dyDescent="0.15">
      <c r="A7" s="11"/>
      <c r="B7" s="11"/>
      <c r="C7" s="11"/>
      <c r="D7" s="11"/>
      <c r="E7" s="11"/>
      <c r="F7" s="11"/>
      <c r="G7" s="11"/>
      <c r="H7" s="11"/>
      <c r="I7" s="11"/>
    </row>
    <row r="8" spans="1:10" ht="27" x14ac:dyDescent="0.15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105.75" customHeight="1" x14ac:dyDescent="0.15">
      <c r="A9" s="12" t="str">
        <f>大中項目!C5</f>
        <v>DTSH0101</v>
      </c>
      <c r="B9" s="20">
        <f t="shared" ref="B9:B19" ca="1" si="0">IF(A9&lt;&gt;"",1,INDIRECT(ADDRESS(ROW(B9)-1,COLUMN(B9),4))+1)</f>
        <v>1</v>
      </c>
      <c r="C9" s="13" t="s">
        <v>40</v>
      </c>
      <c r="D9" s="32" t="s">
        <v>72</v>
      </c>
      <c r="E9" s="14" t="s">
        <v>41</v>
      </c>
      <c r="F9" s="14" t="s">
        <v>48</v>
      </c>
      <c r="G9" s="14"/>
      <c r="H9" s="14" t="s">
        <v>42</v>
      </c>
      <c r="I9" s="15" t="s">
        <v>43</v>
      </c>
      <c r="J9" s="30"/>
    </row>
    <row r="10" spans="1:10" ht="105.75" customHeight="1" x14ac:dyDescent="0.15">
      <c r="A10" s="16" t="str">
        <f>大中項目!C6</f>
        <v>DTSH0102</v>
      </c>
      <c r="B10" s="20">
        <f t="shared" ca="1" si="0"/>
        <v>1</v>
      </c>
      <c r="C10" s="37" t="s">
        <v>40</v>
      </c>
      <c r="D10" s="38" t="s">
        <v>45</v>
      </c>
      <c r="E10" s="39" t="s">
        <v>41</v>
      </c>
      <c r="F10" s="39" t="s">
        <v>49</v>
      </c>
      <c r="G10" s="43" t="s">
        <v>50</v>
      </c>
      <c r="H10" s="40" t="s">
        <v>66</v>
      </c>
      <c r="I10" s="41" t="s">
        <v>43</v>
      </c>
      <c r="J10" s="30"/>
    </row>
    <row r="11" spans="1:10" ht="106.5" customHeight="1" x14ac:dyDescent="0.15">
      <c r="A11" s="16"/>
      <c r="B11" s="20">
        <f t="shared" ca="1" si="0"/>
        <v>2</v>
      </c>
      <c r="C11" s="37" t="s">
        <v>40</v>
      </c>
      <c r="D11" s="38" t="s">
        <v>46</v>
      </c>
      <c r="E11" s="39" t="s">
        <v>41</v>
      </c>
      <c r="F11" s="39" t="s">
        <v>49</v>
      </c>
      <c r="G11" s="36" t="s">
        <v>51</v>
      </c>
      <c r="H11" s="40" t="s">
        <v>67</v>
      </c>
      <c r="I11" s="41" t="s">
        <v>43</v>
      </c>
      <c r="J11" s="30"/>
    </row>
    <row r="12" spans="1:10" ht="102" customHeight="1" x14ac:dyDescent="0.15">
      <c r="A12" s="16" t="str">
        <f>大中項目!C7</f>
        <v>DTSH0103</v>
      </c>
      <c r="B12" s="20">
        <f t="shared" ca="1" si="0"/>
        <v>1</v>
      </c>
      <c r="C12" s="13" t="s">
        <v>40</v>
      </c>
      <c r="D12" s="32" t="s">
        <v>44</v>
      </c>
      <c r="E12" s="14" t="s">
        <v>41</v>
      </c>
      <c r="F12" s="14" t="s">
        <v>49</v>
      </c>
      <c r="G12" s="43" t="s">
        <v>50</v>
      </c>
      <c r="H12" s="40" t="s">
        <v>68</v>
      </c>
      <c r="I12" s="41" t="s">
        <v>43</v>
      </c>
      <c r="J12" s="30"/>
    </row>
    <row r="13" spans="1:10" ht="102" customHeight="1" x14ac:dyDescent="0.15">
      <c r="A13" s="16"/>
      <c r="B13" s="20">
        <f t="shared" ca="1" si="0"/>
        <v>2</v>
      </c>
      <c r="C13" s="13" t="s">
        <v>40</v>
      </c>
      <c r="D13" s="32" t="s">
        <v>55</v>
      </c>
      <c r="E13" s="14" t="s">
        <v>41</v>
      </c>
      <c r="F13" s="14" t="s">
        <v>49</v>
      </c>
      <c r="G13" s="36" t="s">
        <v>51</v>
      </c>
      <c r="H13" s="40" t="s">
        <v>69</v>
      </c>
      <c r="I13" s="41" t="s">
        <v>43</v>
      </c>
      <c r="J13" s="30"/>
    </row>
    <row r="14" spans="1:10" ht="102.75" customHeight="1" x14ac:dyDescent="0.15">
      <c r="A14" s="16" t="str">
        <f>大中項目!C8</f>
        <v>DTSH0104</v>
      </c>
      <c r="B14" s="20">
        <f t="shared" ca="1" si="0"/>
        <v>1</v>
      </c>
      <c r="C14" s="13" t="s">
        <v>40</v>
      </c>
      <c r="D14" s="32" t="s">
        <v>56</v>
      </c>
      <c r="E14" s="14" t="s">
        <v>41</v>
      </c>
      <c r="F14" s="14" t="s">
        <v>49</v>
      </c>
      <c r="G14" s="43" t="s">
        <v>50</v>
      </c>
      <c r="H14" s="14" t="s">
        <v>47</v>
      </c>
      <c r="I14" s="41" t="s">
        <v>43</v>
      </c>
      <c r="J14" s="30"/>
    </row>
    <row r="15" spans="1:10" ht="107.25" customHeight="1" x14ac:dyDescent="0.15">
      <c r="A15" s="16"/>
      <c r="B15" s="20">
        <f t="shared" ca="1" si="0"/>
        <v>2</v>
      </c>
      <c r="C15" s="13" t="s">
        <v>40</v>
      </c>
      <c r="D15" s="32" t="s">
        <v>57</v>
      </c>
      <c r="E15" s="14" t="s">
        <v>41</v>
      </c>
      <c r="F15" s="14" t="s">
        <v>49</v>
      </c>
      <c r="G15" s="36" t="s">
        <v>51</v>
      </c>
      <c r="H15" s="14" t="s">
        <v>47</v>
      </c>
      <c r="I15" s="41" t="s">
        <v>43</v>
      </c>
      <c r="J15" s="30"/>
    </row>
    <row r="16" spans="1:10" x14ac:dyDescent="0.15">
      <c r="A16" s="16"/>
      <c r="B16" s="20">
        <f t="shared" ca="1" si="0"/>
        <v>3</v>
      </c>
      <c r="C16" s="13"/>
      <c r="D16" s="17"/>
      <c r="E16" s="17"/>
      <c r="F16" s="17"/>
      <c r="G16" s="17"/>
      <c r="H16" s="17"/>
      <c r="I16" s="15"/>
      <c r="J16" s="30"/>
    </row>
    <row r="17" spans="1:10" x14ac:dyDescent="0.15">
      <c r="A17" s="16"/>
      <c r="B17" s="20">
        <f t="shared" ca="1" si="0"/>
        <v>4</v>
      </c>
      <c r="C17" s="13"/>
      <c r="D17" s="17"/>
      <c r="E17" s="17"/>
      <c r="F17" s="17"/>
      <c r="G17" s="17"/>
      <c r="H17" s="17"/>
      <c r="I17" s="15"/>
      <c r="J17" s="30"/>
    </row>
    <row r="18" spans="1:10" x14ac:dyDescent="0.15">
      <c r="A18" s="16"/>
      <c r="B18" s="20">
        <f t="shared" ca="1" si="0"/>
        <v>5</v>
      </c>
      <c r="C18" s="13"/>
      <c r="D18" s="17"/>
      <c r="E18" s="17"/>
      <c r="F18" s="17"/>
      <c r="G18" s="17"/>
      <c r="H18" s="17"/>
      <c r="I18" s="15"/>
      <c r="J18" s="30"/>
    </row>
    <row r="19" spans="1:10" x14ac:dyDescent="0.15">
      <c r="A19" s="18"/>
      <c r="B19" s="22">
        <f t="shared" ca="1" si="0"/>
        <v>6</v>
      </c>
      <c r="C19" s="13"/>
      <c r="D19" s="17"/>
      <c r="E19" s="17"/>
      <c r="F19" s="17"/>
      <c r="G19" s="17"/>
      <c r="H19" s="17"/>
      <c r="I19" s="15"/>
      <c r="J19" s="30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143" priority="106">
      <formula>A9&lt;&gt;""</formula>
    </cfRule>
  </conditionalFormatting>
  <conditionalFormatting sqref="B9:B19">
    <cfRule type="expression" dxfId="142" priority="34">
      <formula>B9&lt;&gt;""</formula>
    </cfRule>
  </conditionalFormatting>
  <conditionalFormatting sqref="B9">
    <cfRule type="expression" dxfId="141" priority="33">
      <formula>B9&lt;&gt;""</formula>
    </cfRule>
  </conditionalFormatting>
  <conditionalFormatting sqref="B9">
    <cfRule type="expression" dxfId="140" priority="32">
      <formula>B9&lt;&gt;""</formula>
    </cfRule>
  </conditionalFormatting>
  <conditionalFormatting sqref="B9">
    <cfRule type="expression" dxfId="139" priority="31">
      <formula>B9&lt;&gt;""</formula>
    </cfRule>
  </conditionalFormatting>
  <conditionalFormatting sqref="B10">
    <cfRule type="expression" dxfId="138" priority="30">
      <formula>B10&lt;&gt;""</formula>
    </cfRule>
  </conditionalFormatting>
  <conditionalFormatting sqref="B10">
    <cfRule type="expression" dxfId="137" priority="29">
      <formula>B10&lt;&gt;""</formula>
    </cfRule>
  </conditionalFormatting>
  <conditionalFormatting sqref="B10">
    <cfRule type="expression" dxfId="136" priority="28">
      <formula>B10&lt;&gt;""</formula>
    </cfRule>
  </conditionalFormatting>
  <conditionalFormatting sqref="B11">
    <cfRule type="expression" dxfId="135" priority="27">
      <formula>B11&lt;&gt;""</formula>
    </cfRule>
  </conditionalFormatting>
  <conditionalFormatting sqref="B11">
    <cfRule type="expression" dxfId="134" priority="26">
      <formula>B11&lt;&gt;""</formula>
    </cfRule>
  </conditionalFormatting>
  <conditionalFormatting sqref="B11">
    <cfRule type="expression" dxfId="133" priority="25">
      <formula>B11&lt;&gt;""</formula>
    </cfRule>
  </conditionalFormatting>
  <conditionalFormatting sqref="B12">
    <cfRule type="expression" dxfId="132" priority="24">
      <formula>B12&lt;&gt;""</formula>
    </cfRule>
  </conditionalFormatting>
  <conditionalFormatting sqref="B12">
    <cfRule type="expression" dxfId="131" priority="23">
      <formula>B12&lt;&gt;""</formula>
    </cfRule>
  </conditionalFormatting>
  <conditionalFormatting sqref="B12">
    <cfRule type="expression" dxfId="130" priority="22">
      <formula>B12&lt;&gt;""</formula>
    </cfRule>
  </conditionalFormatting>
  <conditionalFormatting sqref="B13">
    <cfRule type="expression" dxfId="129" priority="21">
      <formula>B13&lt;&gt;""</formula>
    </cfRule>
  </conditionalFormatting>
  <conditionalFormatting sqref="B13">
    <cfRule type="expression" dxfId="128" priority="20">
      <formula>B13&lt;&gt;""</formula>
    </cfRule>
  </conditionalFormatting>
  <conditionalFormatting sqref="B13">
    <cfRule type="expression" dxfId="127" priority="19">
      <formula>B13&lt;&gt;""</formula>
    </cfRule>
  </conditionalFormatting>
  <conditionalFormatting sqref="B14">
    <cfRule type="expression" dxfId="126" priority="18">
      <formula>B14&lt;&gt;""</formula>
    </cfRule>
  </conditionalFormatting>
  <conditionalFormatting sqref="B14">
    <cfRule type="expression" dxfId="125" priority="17">
      <formula>B14&lt;&gt;""</formula>
    </cfRule>
  </conditionalFormatting>
  <conditionalFormatting sqref="B14">
    <cfRule type="expression" dxfId="124" priority="16">
      <formula>B14&lt;&gt;""</formula>
    </cfRule>
  </conditionalFormatting>
  <conditionalFormatting sqref="B15">
    <cfRule type="expression" dxfId="123" priority="15">
      <formula>B15&lt;&gt;""</formula>
    </cfRule>
  </conditionalFormatting>
  <conditionalFormatting sqref="B15">
    <cfRule type="expression" dxfId="122" priority="14">
      <formula>B15&lt;&gt;""</formula>
    </cfRule>
  </conditionalFormatting>
  <conditionalFormatting sqref="B15">
    <cfRule type="expression" dxfId="121" priority="13">
      <formula>B15&lt;&gt;""</formula>
    </cfRule>
  </conditionalFormatting>
  <conditionalFormatting sqref="B16">
    <cfRule type="expression" dxfId="120" priority="12">
      <formula>B16&lt;&gt;""</formula>
    </cfRule>
  </conditionalFormatting>
  <conditionalFormatting sqref="B16">
    <cfRule type="expression" dxfId="119" priority="11">
      <formula>B16&lt;&gt;""</formula>
    </cfRule>
  </conditionalFormatting>
  <conditionalFormatting sqref="B16">
    <cfRule type="expression" dxfId="118" priority="10">
      <formula>B16&lt;&gt;""</formula>
    </cfRule>
  </conditionalFormatting>
  <conditionalFormatting sqref="B17">
    <cfRule type="expression" dxfId="117" priority="9">
      <formula>B17&lt;&gt;""</formula>
    </cfRule>
  </conditionalFormatting>
  <conditionalFormatting sqref="B17">
    <cfRule type="expression" dxfId="116" priority="8">
      <formula>B17&lt;&gt;""</formula>
    </cfRule>
  </conditionalFormatting>
  <conditionalFormatting sqref="B17">
    <cfRule type="expression" dxfId="115" priority="7">
      <formula>B17&lt;&gt;""</formula>
    </cfRule>
  </conditionalFormatting>
  <conditionalFormatting sqref="B18">
    <cfRule type="expression" dxfId="114" priority="6">
      <formula>B18&lt;&gt;""</formula>
    </cfRule>
  </conditionalFormatting>
  <conditionalFormatting sqref="B18">
    <cfRule type="expression" dxfId="113" priority="5">
      <formula>B18&lt;&gt;""</formula>
    </cfRule>
  </conditionalFormatting>
  <conditionalFormatting sqref="B18">
    <cfRule type="expression" dxfId="112" priority="4">
      <formula>B18&lt;&gt;""</formula>
    </cfRule>
  </conditionalFormatting>
  <conditionalFormatting sqref="B19">
    <cfRule type="expression" dxfId="111" priority="3">
      <formula>B19&lt;&gt;""</formula>
    </cfRule>
  </conditionalFormatting>
  <conditionalFormatting sqref="B19">
    <cfRule type="expression" dxfId="110" priority="2">
      <formula>B19&lt;&gt;""</formula>
    </cfRule>
  </conditionalFormatting>
  <conditionalFormatting sqref="B19">
    <cfRule type="expression" dxfId="109" priority="1">
      <formula>B19&lt;&gt;""</formula>
    </cfRule>
  </conditionalFormatting>
  <dataValidations count="2">
    <dataValidation type="list" allowBlank="1" showInputMessage="1" showErrorMessage="1" sqref="I9:I19">
      <formula1>"Selenium:○,Seleniumu:△,Selenium:×,JUnit:○,JUnit:△,Junit:×,手動実行,机上"</formula1>
    </dataValidation>
    <dataValidation type="list" allowBlank="1" showInputMessage="1" showErrorMessage="1" sqref="C9:C19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zoomScale="70" zoomScaleNormal="70" workbookViewId="0">
      <pane ySplit="8" topLeftCell="A9" activePane="bottomLeft" state="frozen"/>
      <selection pane="bottomLeft" activeCell="D9" sqref="D9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45" t="s">
        <v>6</v>
      </c>
      <c r="B1" s="46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15">
      <c r="A2" s="47" t="s">
        <v>20</v>
      </c>
      <c r="B2" s="48"/>
      <c r="C2" s="51">
        <f>COUNTA($D$9:$D$65505)</f>
        <v>7</v>
      </c>
      <c r="D2" s="21" t="str">
        <f>大中項目!B1</f>
        <v>DTSH</v>
      </c>
      <c r="E2" s="19" t="str">
        <f>大中項目!A9</f>
        <v>DTSH02</v>
      </c>
      <c r="F2" s="9" t="s">
        <v>70</v>
      </c>
      <c r="G2" s="9"/>
      <c r="H2" s="8"/>
    </row>
    <row r="3" spans="1:10" x14ac:dyDescent="0.15">
      <c r="A3" s="49"/>
      <c r="B3" s="50"/>
      <c r="C3" s="52"/>
      <c r="D3" s="21" t="str">
        <f>大中項目!B2</f>
        <v>データベースシャーディング</v>
      </c>
      <c r="E3" s="19" t="str">
        <f>大中項目!B9</f>
        <v>Serviceクラスの引数が2つのメソッドに@ShardWithAccount、シャーディング対象となる引数に@ShardAccountを付与し、CRUD処理時にシャーディングしていること</v>
      </c>
      <c r="F3" s="9">
        <v>43031</v>
      </c>
      <c r="G3" s="9"/>
      <c r="H3" s="9"/>
    </row>
    <row r="4" spans="1:10" x14ac:dyDescent="0.15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15">
      <c r="A5" s="53" t="s">
        <v>13</v>
      </c>
      <c r="B5" s="54"/>
      <c r="C5" s="54"/>
      <c r="D5" s="54"/>
      <c r="E5" s="54"/>
      <c r="F5" s="54"/>
      <c r="G5" s="54"/>
      <c r="H5" s="54"/>
      <c r="I5" s="55"/>
    </row>
    <row r="6" spans="1:10" ht="42" customHeight="1" x14ac:dyDescent="0.15">
      <c r="A6" s="56" t="s">
        <v>14</v>
      </c>
      <c r="B6" s="57"/>
      <c r="C6" s="57"/>
      <c r="D6" s="57"/>
      <c r="E6" s="57"/>
      <c r="F6" s="57"/>
      <c r="G6" s="57"/>
      <c r="H6" s="57"/>
      <c r="I6" s="58"/>
    </row>
    <row r="7" spans="1:10" x14ac:dyDescent="0.15">
      <c r="A7" s="11"/>
      <c r="B7" s="11"/>
      <c r="C7" s="11"/>
      <c r="D7" s="11"/>
      <c r="E7" s="11"/>
      <c r="F7" s="11"/>
      <c r="G7" s="11"/>
      <c r="H7" s="11"/>
      <c r="I7" s="11"/>
    </row>
    <row r="8" spans="1:10" ht="27" x14ac:dyDescent="0.15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121.5" x14ac:dyDescent="0.15">
      <c r="A9" s="12" t="str">
        <f>大中項目!C9</f>
        <v>DTSH0201</v>
      </c>
      <c r="B9" s="20">
        <f t="shared" ref="B9:B19" ca="1" si="0">IF(A9&lt;&gt;"",1,INDIRECT(ADDRESS(ROW(B9)-1,COLUMN(B9),4))+1)</f>
        <v>1</v>
      </c>
      <c r="C9" s="13" t="s">
        <v>40</v>
      </c>
      <c r="D9" s="32" t="s">
        <v>71</v>
      </c>
      <c r="E9" s="14" t="s">
        <v>41</v>
      </c>
      <c r="F9" s="14" t="s">
        <v>48</v>
      </c>
      <c r="G9" s="14"/>
      <c r="H9" s="14" t="s">
        <v>42</v>
      </c>
      <c r="I9" s="15" t="s">
        <v>43</v>
      </c>
      <c r="J9" s="30"/>
    </row>
    <row r="10" spans="1:10" ht="115.5" customHeight="1" x14ac:dyDescent="0.15">
      <c r="A10" s="16" t="str">
        <f>大中項目!C10</f>
        <v>DTSH0202</v>
      </c>
      <c r="B10" s="20">
        <f t="shared" ca="1" si="0"/>
        <v>1</v>
      </c>
      <c r="C10" s="13" t="s">
        <v>40</v>
      </c>
      <c r="D10" s="32" t="s">
        <v>52</v>
      </c>
      <c r="E10" s="39" t="s">
        <v>41</v>
      </c>
      <c r="F10" s="39" t="s">
        <v>49</v>
      </c>
      <c r="G10" s="43" t="s">
        <v>50</v>
      </c>
      <c r="H10" s="40" t="s">
        <v>66</v>
      </c>
      <c r="I10" s="41" t="s">
        <v>43</v>
      </c>
      <c r="J10" s="30"/>
    </row>
    <row r="11" spans="1:10" ht="142.5" customHeight="1" x14ac:dyDescent="0.15">
      <c r="A11" s="16"/>
      <c r="B11" s="20">
        <f t="shared" ca="1" si="0"/>
        <v>2</v>
      </c>
      <c r="C11" s="13" t="s">
        <v>40</v>
      </c>
      <c r="D11" s="32" t="s">
        <v>53</v>
      </c>
      <c r="E11" s="39" t="s">
        <v>41</v>
      </c>
      <c r="F11" s="39" t="s">
        <v>49</v>
      </c>
      <c r="G11" s="36" t="s">
        <v>51</v>
      </c>
      <c r="H11" s="40" t="s">
        <v>67</v>
      </c>
      <c r="I11" s="41" t="s">
        <v>43</v>
      </c>
      <c r="J11" s="30"/>
    </row>
    <row r="12" spans="1:10" ht="122.25" customHeight="1" x14ac:dyDescent="0.15">
      <c r="A12" s="16" t="str">
        <f>大中項目!C11</f>
        <v>DTSH0203</v>
      </c>
      <c r="B12" s="20">
        <f t="shared" ca="1" si="0"/>
        <v>1</v>
      </c>
      <c r="C12" s="13" t="s">
        <v>40</v>
      </c>
      <c r="D12" s="32" t="s">
        <v>58</v>
      </c>
      <c r="E12" s="14" t="s">
        <v>41</v>
      </c>
      <c r="F12" s="14" t="s">
        <v>49</v>
      </c>
      <c r="G12" s="43" t="s">
        <v>50</v>
      </c>
      <c r="H12" s="40" t="s">
        <v>68</v>
      </c>
      <c r="I12" s="41" t="s">
        <v>43</v>
      </c>
      <c r="J12" s="30"/>
    </row>
    <row r="13" spans="1:10" ht="129.75" customHeight="1" x14ac:dyDescent="0.15">
      <c r="A13" s="16"/>
      <c r="B13" s="20">
        <f t="shared" ca="1" si="0"/>
        <v>2</v>
      </c>
      <c r="C13" s="13" t="s">
        <v>40</v>
      </c>
      <c r="D13" s="32" t="s">
        <v>59</v>
      </c>
      <c r="E13" s="14" t="s">
        <v>41</v>
      </c>
      <c r="F13" s="14" t="s">
        <v>49</v>
      </c>
      <c r="G13" s="36" t="s">
        <v>51</v>
      </c>
      <c r="H13" s="40" t="s">
        <v>69</v>
      </c>
      <c r="I13" s="41" t="s">
        <v>43</v>
      </c>
      <c r="J13" s="30"/>
    </row>
    <row r="14" spans="1:10" ht="116.25" customHeight="1" x14ac:dyDescent="0.15">
      <c r="A14" s="16" t="str">
        <f>大中項目!C12</f>
        <v>DTSH0204</v>
      </c>
      <c r="B14" s="20">
        <f t="shared" ca="1" si="0"/>
        <v>1</v>
      </c>
      <c r="C14" s="13"/>
      <c r="D14" s="32" t="s">
        <v>54</v>
      </c>
      <c r="E14" s="14" t="s">
        <v>41</v>
      </c>
      <c r="F14" s="14" t="s">
        <v>49</v>
      </c>
      <c r="G14" s="43" t="s">
        <v>50</v>
      </c>
      <c r="H14" s="14" t="s">
        <v>47</v>
      </c>
      <c r="I14" s="41" t="s">
        <v>43</v>
      </c>
      <c r="J14" s="30"/>
    </row>
    <row r="15" spans="1:10" ht="108" x14ac:dyDescent="0.15">
      <c r="A15" s="16"/>
      <c r="B15" s="20">
        <f t="shared" ca="1" si="0"/>
        <v>2</v>
      </c>
      <c r="C15" s="13"/>
      <c r="D15" s="32" t="s">
        <v>60</v>
      </c>
      <c r="E15" s="14" t="s">
        <v>41</v>
      </c>
      <c r="F15" s="14" t="s">
        <v>49</v>
      </c>
      <c r="G15" s="36" t="s">
        <v>51</v>
      </c>
      <c r="H15" s="14" t="s">
        <v>47</v>
      </c>
      <c r="I15" s="41" t="s">
        <v>43</v>
      </c>
      <c r="J15" s="30"/>
    </row>
    <row r="16" spans="1:10" x14ac:dyDescent="0.15">
      <c r="A16" s="16"/>
      <c r="B16" s="20">
        <f t="shared" ca="1" si="0"/>
        <v>3</v>
      </c>
      <c r="C16" s="13"/>
      <c r="D16" s="17"/>
      <c r="E16" s="17"/>
      <c r="F16" s="17"/>
      <c r="G16" s="17"/>
      <c r="H16" s="17"/>
      <c r="I16" s="15"/>
      <c r="J16" s="30"/>
    </row>
    <row r="17" spans="1:10" x14ac:dyDescent="0.15">
      <c r="A17" s="16"/>
      <c r="B17" s="20">
        <f t="shared" ca="1" si="0"/>
        <v>4</v>
      </c>
      <c r="C17" s="13"/>
      <c r="D17" s="17"/>
      <c r="E17" s="17"/>
      <c r="F17" s="17"/>
      <c r="G17" s="17"/>
      <c r="H17" s="17"/>
      <c r="I17" s="15"/>
      <c r="J17" s="30"/>
    </row>
    <row r="18" spans="1:10" x14ac:dyDescent="0.15">
      <c r="A18" s="16"/>
      <c r="B18" s="20">
        <f t="shared" ca="1" si="0"/>
        <v>5</v>
      </c>
      <c r="C18" s="13"/>
      <c r="D18" s="17"/>
      <c r="E18" s="17"/>
      <c r="F18" s="17"/>
      <c r="G18" s="17"/>
      <c r="H18" s="17"/>
      <c r="I18" s="15"/>
      <c r="J18" s="30"/>
    </row>
    <row r="19" spans="1:10" x14ac:dyDescent="0.15">
      <c r="A19" s="18"/>
      <c r="B19" s="22">
        <f t="shared" ca="1" si="0"/>
        <v>6</v>
      </c>
      <c r="C19" s="13"/>
      <c r="D19" s="17"/>
      <c r="E19" s="17"/>
      <c r="F19" s="17"/>
      <c r="G19" s="17"/>
      <c r="H19" s="17"/>
      <c r="I19" s="15"/>
      <c r="J19" s="30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108" priority="35">
      <formula>A9&lt;&gt;""</formula>
    </cfRule>
  </conditionalFormatting>
  <conditionalFormatting sqref="B9:B19">
    <cfRule type="expression" dxfId="107" priority="34">
      <formula>B9&lt;&gt;""</formula>
    </cfRule>
  </conditionalFormatting>
  <conditionalFormatting sqref="B9">
    <cfRule type="expression" dxfId="106" priority="33">
      <formula>B9&lt;&gt;""</formula>
    </cfRule>
  </conditionalFormatting>
  <conditionalFormatting sqref="B9">
    <cfRule type="expression" dxfId="105" priority="32">
      <formula>B9&lt;&gt;""</formula>
    </cfRule>
  </conditionalFormatting>
  <conditionalFormatting sqref="B9">
    <cfRule type="expression" dxfId="104" priority="31">
      <formula>B9&lt;&gt;""</formula>
    </cfRule>
  </conditionalFormatting>
  <conditionalFormatting sqref="B10">
    <cfRule type="expression" dxfId="103" priority="30">
      <formula>B10&lt;&gt;""</formula>
    </cfRule>
  </conditionalFormatting>
  <conditionalFormatting sqref="B10">
    <cfRule type="expression" dxfId="102" priority="29">
      <formula>B10&lt;&gt;""</formula>
    </cfRule>
  </conditionalFormatting>
  <conditionalFormatting sqref="B10">
    <cfRule type="expression" dxfId="101" priority="28">
      <formula>B10&lt;&gt;""</formula>
    </cfRule>
  </conditionalFormatting>
  <conditionalFormatting sqref="B11">
    <cfRule type="expression" dxfId="100" priority="27">
      <formula>B11&lt;&gt;""</formula>
    </cfRule>
  </conditionalFormatting>
  <conditionalFormatting sqref="B11">
    <cfRule type="expression" dxfId="99" priority="26">
      <formula>B11&lt;&gt;""</formula>
    </cfRule>
  </conditionalFormatting>
  <conditionalFormatting sqref="B11">
    <cfRule type="expression" dxfId="98" priority="25">
      <formula>B11&lt;&gt;""</formula>
    </cfRule>
  </conditionalFormatting>
  <conditionalFormatting sqref="B12">
    <cfRule type="expression" dxfId="97" priority="24">
      <formula>B12&lt;&gt;""</formula>
    </cfRule>
  </conditionalFormatting>
  <conditionalFormatting sqref="B12">
    <cfRule type="expression" dxfId="96" priority="23">
      <formula>B12&lt;&gt;""</formula>
    </cfRule>
  </conditionalFormatting>
  <conditionalFormatting sqref="B12">
    <cfRule type="expression" dxfId="95" priority="22">
      <formula>B12&lt;&gt;""</formula>
    </cfRule>
  </conditionalFormatting>
  <conditionalFormatting sqref="B13">
    <cfRule type="expression" dxfId="94" priority="21">
      <formula>B13&lt;&gt;""</formula>
    </cfRule>
  </conditionalFormatting>
  <conditionalFormatting sqref="B13">
    <cfRule type="expression" dxfId="93" priority="20">
      <formula>B13&lt;&gt;""</formula>
    </cfRule>
  </conditionalFormatting>
  <conditionalFormatting sqref="B13">
    <cfRule type="expression" dxfId="92" priority="19">
      <formula>B13&lt;&gt;""</formula>
    </cfRule>
  </conditionalFormatting>
  <conditionalFormatting sqref="B14">
    <cfRule type="expression" dxfId="91" priority="18">
      <formula>B14&lt;&gt;""</formula>
    </cfRule>
  </conditionalFormatting>
  <conditionalFormatting sqref="B14">
    <cfRule type="expression" dxfId="90" priority="17">
      <formula>B14&lt;&gt;""</formula>
    </cfRule>
  </conditionalFormatting>
  <conditionalFormatting sqref="B14">
    <cfRule type="expression" dxfId="89" priority="16">
      <formula>B14&lt;&gt;""</formula>
    </cfRule>
  </conditionalFormatting>
  <conditionalFormatting sqref="B15">
    <cfRule type="expression" dxfId="88" priority="15">
      <formula>B15&lt;&gt;""</formula>
    </cfRule>
  </conditionalFormatting>
  <conditionalFormatting sqref="B15">
    <cfRule type="expression" dxfId="87" priority="14">
      <formula>B15&lt;&gt;""</formula>
    </cfRule>
  </conditionalFormatting>
  <conditionalFormatting sqref="B15">
    <cfRule type="expression" dxfId="86" priority="13">
      <formula>B15&lt;&gt;""</formula>
    </cfRule>
  </conditionalFormatting>
  <conditionalFormatting sqref="B16">
    <cfRule type="expression" dxfId="85" priority="12">
      <formula>B16&lt;&gt;""</formula>
    </cfRule>
  </conditionalFormatting>
  <conditionalFormatting sqref="B16">
    <cfRule type="expression" dxfId="84" priority="11">
      <formula>B16&lt;&gt;""</formula>
    </cfRule>
  </conditionalFormatting>
  <conditionalFormatting sqref="B16">
    <cfRule type="expression" dxfId="83" priority="10">
      <formula>B16&lt;&gt;""</formula>
    </cfRule>
  </conditionalFormatting>
  <conditionalFormatting sqref="B17">
    <cfRule type="expression" dxfId="82" priority="9">
      <formula>B17&lt;&gt;""</formula>
    </cfRule>
  </conditionalFormatting>
  <conditionalFormatting sqref="B17">
    <cfRule type="expression" dxfId="81" priority="8">
      <formula>B17&lt;&gt;""</formula>
    </cfRule>
  </conditionalFormatting>
  <conditionalFormatting sqref="B17">
    <cfRule type="expression" dxfId="80" priority="7">
      <formula>B17&lt;&gt;""</formula>
    </cfRule>
  </conditionalFormatting>
  <conditionalFormatting sqref="B18">
    <cfRule type="expression" dxfId="79" priority="6">
      <formula>B18&lt;&gt;""</formula>
    </cfRule>
  </conditionalFormatting>
  <conditionalFormatting sqref="B18">
    <cfRule type="expression" dxfId="78" priority="5">
      <formula>B18&lt;&gt;""</formula>
    </cfRule>
  </conditionalFormatting>
  <conditionalFormatting sqref="B18">
    <cfRule type="expression" dxfId="77" priority="4">
      <formula>B18&lt;&gt;""</formula>
    </cfRule>
  </conditionalFormatting>
  <conditionalFormatting sqref="B19">
    <cfRule type="expression" dxfId="76" priority="3">
      <formula>B19&lt;&gt;""</formula>
    </cfRule>
  </conditionalFormatting>
  <conditionalFormatting sqref="B19">
    <cfRule type="expression" dxfId="75" priority="2">
      <formula>B19&lt;&gt;""</formula>
    </cfRule>
  </conditionalFormatting>
  <conditionalFormatting sqref="B19">
    <cfRule type="expression" dxfId="74" priority="1">
      <formula>B19&lt;&gt;""</formula>
    </cfRule>
  </conditionalFormatting>
  <dataValidations count="2">
    <dataValidation type="list" allowBlank="1" showInputMessage="1" showErrorMessage="1" sqref="C9:C19">
      <formula1>"正常,クライアントエラー,サーバーエラー"</formula1>
    </dataValidation>
    <dataValidation type="list" allowBlank="1" showInputMessage="1" showErrorMessage="1" sqref="I9:I19">
      <formula1>"Selenium:○,Seleniumu:△,Selenium:×,JUnit:○,JUnit:△,Junit:×,手動実行,机上"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zoomScale="70" zoomScaleNormal="70" workbookViewId="0">
      <pane ySplit="8" topLeftCell="A9" activePane="bottomLeft" state="frozen"/>
      <selection pane="bottomLeft" activeCell="D12" sqref="D12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45" t="s">
        <v>6</v>
      </c>
      <c r="B1" s="46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15">
      <c r="A2" s="47" t="s">
        <v>20</v>
      </c>
      <c r="B2" s="48"/>
      <c r="C2" s="51">
        <f>COUNTA($D$9:$D$65505)</f>
        <v>4</v>
      </c>
      <c r="D2" s="21" t="str">
        <f>大中項目!B1</f>
        <v>DTSH</v>
      </c>
      <c r="E2" s="19" t="str">
        <f>大中項目!A13</f>
        <v>DTSH03</v>
      </c>
      <c r="F2" s="9" t="s">
        <v>70</v>
      </c>
      <c r="G2" s="9"/>
      <c r="H2" s="8"/>
    </row>
    <row r="3" spans="1:10" x14ac:dyDescent="0.15">
      <c r="A3" s="49"/>
      <c r="B3" s="50"/>
      <c r="C3" s="52"/>
      <c r="D3" s="21" t="str">
        <f>大中項目!B2</f>
        <v>データベースシャーディング</v>
      </c>
      <c r="E3" s="19" t="str">
        <f>大中項目!B13</f>
        <v>Serviceクラスの@ShardWithAccountが付与されていないメソッドで、シャーディングせずに、デフォルトDBにてCRUD処理を行っていること</v>
      </c>
      <c r="F3" s="9">
        <v>43031</v>
      </c>
      <c r="G3" s="9"/>
      <c r="H3" s="9"/>
    </row>
    <row r="4" spans="1:10" x14ac:dyDescent="0.15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15">
      <c r="A5" s="53" t="s">
        <v>13</v>
      </c>
      <c r="B5" s="54"/>
      <c r="C5" s="54"/>
      <c r="D5" s="54"/>
      <c r="E5" s="54"/>
      <c r="F5" s="54"/>
      <c r="G5" s="54"/>
      <c r="H5" s="54"/>
      <c r="I5" s="55"/>
    </row>
    <row r="6" spans="1:10" ht="42" customHeight="1" x14ac:dyDescent="0.15">
      <c r="A6" s="56" t="s">
        <v>14</v>
      </c>
      <c r="B6" s="57"/>
      <c r="C6" s="57"/>
      <c r="D6" s="57"/>
      <c r="E6" s="57"/>
      <c r="F6" s="57"/>
      <c r="G6" s="57"/>
      <c r="H6" s="57"/>
      <c r="I6" s="58"/>
    </row>
    <row r="7" spans="1:10" x14ac:dyDescent="0.15">
      <c r="A7" s="11"/>
      <c r="B7" s="11"/>
      <c r="C7" s="11"/>
      <c r="D7" s="11"/>
      <c r="E7" s="11"/>
      <c r="F7" s="11"/>
      <c r="G7" s="11"/>
      <c r="H7" s="11"/>
      <c r="I7" s="11"/>
    </row>
    <row r="8" spans="1:10" ht="27" x14ac:dyDescent="0.15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112.5" customHeight="1" x14ac:dyDescent="0.15">
      <c r="A9" s="12" t="str">
        <f>大中項目!C13</f>
        <v>DTSH0301</v>
      </c>
      <c r="B9" s="20">
        <f t="shared" ref="B9:B19" ca="1" si="0">IF(A9&lt;&gt;"",1,INDIRECT(ADDRESS(ROW(B9)-1,COLUMN(B9),4))+1)</f>
        <v>1</v>
      </c>
      <c r="C9" s="13" t="s">
        <v>40</v>
      </c>
      <c r="D9" s="5" t="s">
        <v>36</v>
      </c>
      <c r="E9" s="14" t="s">
        <v>61</v>
      </c>
      <c r="F9" s="14" t="s">
        <v>49</v>
      </c>
      <c r="G9" s="14"/>
      <c r="H9" s="14" t="s">
        <v>62</v>
      </c>
      <c r="I9" s="15" t="s">
        <v>43</v>
      </c>
      <c r="J9" s="30"/>
    </row>
    <row r="10" spans="1:10" ht="104.25" customHeight="1" x14ac:dyDescent="0.15">
      <c r="A10" s="16" t="str">
        <f>大中項目!C14</f>
        <v>DTSH0302</v>
      </c>
      <c r="B10" s="20">
        <f t="shared" ca="1" si="0"/>
        <v>1</v>
      </c>
      <c r="C10" s="13" t="s">
        <v>40</v>
      </c>
      <c r="D10" s="5" t="s">
        <v>37</v>
      </c>
      <c r="E10" s="39" t="s">
        <v>61</v>
      </c>
      <c r="F10" s="14" t="s">
        <v>49</v>
      </c>
      <c r="G10" s="17" t="s">
        <v>73</v>
      </c>
      <c r="H10" s="14" t="s">
        <v>63</v>
      </c>
      <c r="I10" s="15" t="s">
        <v>43</v>
      </c>
      <c r="J10" s="30"/>
    </row>
    <row r="11" spans="1:10" ht="105" customHeight="1" x14ac:dyDescent="0.15">
      <c r="A11" s="16" t="str">
        <f>大中項目!C15</f>
        <v>DTSH0303</v>
      </c>
      <c r="B11" s="20">
        <f t="shared" ca="1" si="0"/>
        <v>1</v>
      </c>
      <c r="C11" s="13" t="s">
        <v>40</v>
      </c>
      <c r="D11" s="44" t="s">
        <v>38</v>
      </c>
      <c r="E11" s="39" t="s">
        <v>61</v>
      </c>
      <c r="F11" s="14" t="s">
        <v>49</v>
      </c>
      <c r="G11" s="17" t="s">
        <v>73</v>
      </c>
      <c r="H11" s="14" t="s">
        <v>64</v>
      </c>
      <c r="I11" s="15" t="s">
        <v>43</v>
      </c>
      <c r="J11" s="30"/>
    </row>
    <row r="12" spans="1:10" ht="110.25" customHeight="1" x14ac:dyDescent="0.15">
      <c r="A12" s="16" t="str">
        <f>大中項目!C16</f>
        <v>DTSH0304</v>
      </c>
      <c r="B12" s="20">
        <f t="shared" ca="1" si="0"/>
        <v>1</v>
      </c>
      <c r="C12" s="13" t="s">
        <v>40</v>
      </c>
      <c r="D12" s="44" t="s">
        <v>39</v>
      </c>
      <c r="E12" s="14" t="s">
        <v>61</v>
      </c>
      <c r="F12" s="14" t="s">
        <v>49</v>
      </c>
      <c r="G12" s="17" t="s">
        <v>73</v>
      </c>
      <c r="H12" s="14" t="s">
        <v>65</v>
      </c>
      <c r="I12" s="15" t="s">
        <v>43</v>
      </c>
      <c r="J12" s="30"/>
    </row>
    <row r="13" spans="1:10" x14ac:dyDescent="0.15">
      <c r="A13" s="16"/>
      <c r="B13" s="20">
        <f t="shared" ca="1" si="0"/>
        <v>2</v>
      </c>
      <c r="C13" s="13"/>
      <c r="D13" s="17"/>
      <c r="E13" s="14"/>
      <c r="F13" s="17"/>
      <c r="G13" s="17"/>
      <c r="H13" s="17"/>
      <c r="I13" s="15"/>
      <c r="J13" s="30"/>
    </row>
    <row r="14" spans="1:10" x14ac:dyDescent="0.15">
      <c r="A14" s="16"/>
      <c r="B14" s="20">
        <f t="shared" ca="1" si="0"/>
        <v>3</v>
      </c>
      <c r="C14" s="13"/>
      <c r="D14" s="17"/>
      <c r="E14" s="14"/>
      <c r="F14" s="17"/>
      <c r="G14" s="17"/>
      <c r="H14" s="17"/>
      <c r="I14" s="15"/>
      <c r="J14" s="30"/>
    </row>
    <row r="15" spans="1:10" x14ac:dyDescent="0.15">
      <c r="A15" s="16"/>
      <c r="B15" s="20">
        <f t="shared" ca="1" si="0"/>
        <v>4</v>
      </c>
      <c r="C15" s="13"/>
      <c r="D15" s="17"/>
      <c r="E15" s="14"/>
      <c r="F15" s="17"/>
      <c r="G15" s="17"/>
      <c r="H15" s="17"/>
      <c r="I15" s="15"/>
      <c r="J15" s="30"/>
    </row>
    <row r="16" spans="1:10" x14ac:dyDescent="0.15">
      <c r="A16" s="16"/>
      <c r="B16" s="20">
        <f t="shared" ca="1" si="0"/>
        <v>5</v>
      </c>
      <c r="C16" s="13"/>
      <c r="D16" s="17"/>
      <c r="E16" s="17"/>
      <c r="F16" s="17"/>
      <c r="G16" s="17"/>
      <c r="H16" s="17"/>
      <c r="I16" s="15"/>
      <c r="J16" s="30"/>
    </row>
    <row r="17" spans="1:10" x14ac:dyDescent="0.15">
      <c r="A17" s="16"/>
      <c r="B17" s="20">
        <f t="shared" ca="1" si="0"/>
        <v>6</v>
      </c>
      <c r="C17" s="13"/>
      <c r="D17" s="17"/>
      <c r="E17" s="17"/>
      <c r="F17" s="17"/>
      <c r="G17" s="17"/>
      <c r="H17" s="17"/>
      <c r="I17" s="15"/>
      <c r="J17" s="30"/>
    </row>
    <row r="18" spans="1:10" x14ac:dyDescent="0.15">
      <c r="A18" s="16"/>
      <c r="B18" s="20">
        <f t="shared" ca="1" si="0"/>
        <v>7</v>
      </c>
      <c r="C18" s="13"/>
      <c r="D18" s="17"/>
      <c r="E18" s="17"/>
      <c r="F18" s="17"/>
      <c r="G18" s="17"/>
      <c r="H18" s="17"/>
      <c r="I18" s="15"/>
      <c r="J18" s="30"/>
    </row>
    <row r="19" spans="1:10" x14ac:dyDescent="0.15">
      <c r="A19" s="18"/>
      <c r="B19" s="22">
        <f t="shared" ca="1" si="0"/>
        <v>8</v>
      </c>
      <c r="C19" s="13"/>
      <c r="D19" s="17"/>
      <c r="E19" s="17"/>
      <c r="F19" s="17"/>
      <c r="G19" s="17"/>
      <c r="H19" s="17"/>
      <c r="I19" s="15"/>
      <c r="J19" s="30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73" priority="35">
      <formula>A9&lt;&gt;""</formula>
    </cfRule>
  </conditionalFormatting>
  <conditionalFormatting sqref="B9:B19">
    <cfRule type="expression" dxfId="72" priority="34">
      <formula>B9&lt;&gt;""</formula>
    </cfRule>
  </conditionalFormatting>
  <conditionalFormatting sqref="B9">
    <cfRule type="expression" dxfId="71" priority="33">
      <formula>B9&lt;&gt;""</formula>
    </cfRule>
  </conditionalFormatting>
  <conditionalFormatting sqref="B9">
    <cfRule type="expression" dxfId="70" priority="32">
      <formula>B9&lt;&gt;""</formula>
    </cfRule>
  </conditionalFormatting>
  <conditionalFormatting sqref="B9">
    <cfRule type="expression" dxfId="69" priority="31">
      <formula>B9&lt;&gt;""</formula>
    </cfRule>
  </conditionalFormatting>
  <conditionalFormatting sqref="B10">
    <cfRule type="expression" dxfId="68" priority="30">
      <formula>B10&lt;&gt;""</formula>
    </cfRule>
  </conditionalFormatting>
  <conditionalFormatting sqref="B10">
    <cfRule type="expression" dxfId="67" priority="29">
      <formula>B10&lt;&gt;""</formula>
    </cfRule>
  </conditionalFormatting>
  <conditionalFormatting sqref="B10">
    <cfRule type="expression" dxfId="66" priority="28">
      <formula>B10&lt;&gt;""</formula>
    </cfRule>
  </conditionalFormatting>
  <conditionalFormatting sqref="B11">
    <cfRule type="expression" dxfId="65" priority="27">
      <formula>B11&lt;&gt;""</formula>
    </cfRule>
  </conditionalFormatting>
  <conditionalFormatting sqref="B11">
    <cfRule type="expression" dxfId="64" priority="26">
      <formula>B11&lt;&gt;""</formula>
    </cfRule>
  </conditionalFormatting>
  <conditionalFormatting sqref="B11">
    <cfRule type="expression" dxfId="63" priority="25">
      <formula>B11&lt;&gt;""</formula>
    </cfRule>
  </conditionalFormatting>
  <conditionalFormatting sqref="B12">
    <cfRule type="expression" dxfId="62" priority="24">
      <formula>B12&lt;&gt;""</formula>
    </cfRule>
  </conditionalFormatting>
  <conditionalFormatting sqref="B12">
    <cfRule type="expression" dxfId="61" priority="23">
      <formula>B12&lt;&gt;""</formula>
    </cfRule>
  </conditionalFormatting>
  <conditionalFormatting sqref="B12">
    <cfRule type="expression" dxfId="60" priority="22">
      <formula>B12&lt;&gt;""</formula>
    </cfRule>
  </conditionalFormatting>
  <conditionalFormatting sqref="B13">
    <cfRule type="expression" dxfId="59" priority="21">
      <formula>B13&lt;&gt;""</formula>
    </cfRule>
  </conditionalFormatting>
  <conditionalFormatting sqref="B13">
    <cfRule type="expression" dxfId="58" priority="20">
      <formula>B13&lt;&gt;""</formula>
    </cfRule>
  </conditionalFormatting>
  <conditionalFormatting sqref="B13">
    <cfRule type="expression" dxfId="57" priority="19">
      <formula>B13&lt;&gt;""</formula>
    </cfRule>
  </conditionalFormatting>
  <conditionalFormatting sqref="B14">
    <cfRule type="expression" dxfId="56" priority="18">
      <formula>B14&lt;&gt;""</formula>
    </cfRule>
  </conditionalFormatting>
  <conditionalFormatting sqref="B14">
    <cfRule type="expression" dxfId="55" priority="17">
      <formula>B14&lt;&gt;""</formula>
    </cfRule>
  </conditionalFormatting>
  <conditionalFormatting sqref="B14">
    <cfRule type="expression" dxfId="54" priority="16">
      <formula>B14&lt;&gt;""</formula>
    </cfRule>
  </conditionalFormatting>
  <conditionalFormatting sqref="B15">
    <cfRule type="expression" dxfId="53" priority="15">
      <formula>B15&lt;&gt;""</formula>
    </cfRule>
  </conditionalFormatting>
  <conditionalFormatting sqref="B15">
    <cfRule type="expression" dxfId="52" priority="14">
      <formula>B15&lt;&gt;""</formula>
    </cfRule>
  </conditionalFormatting>
  <conditionalFormatting sqref="B15">
    <cfRule type="expression" dxfId="51" priority="13">
      <formula>B15&lt;&gt;""</formula>
    </cfRule>
  </conditionalFormatting>
  <conditionalFormatting sqref="B16">
    <cfRule type="expression" dxfId="50" priority="12">
      <formula>B16&lt;&gt;""</formula>
    </cfRule>
  </conditionalFormatting>
  <conditionalFormatting sqref="B16">
    <cfRule type="expression" dxfId="49" priority="11">
      <formula>B16&lt;&gt;""</formula>
    </cfRule>
  </conditionalFormatting>
  <conditionalFormatting sqref="B16">
    <cfRule type="expression" dxfId="48" priority="10">
      <formula>B16&lt;&gt;""</formula>
    </cfRule>
  </conditionalFormatting>
  <conditionalFormatting sqref="B17">
    <cfRule type="expression" dxfId="47" priority="9">
      <formula>B17&lt;&gt;""</formula>
    </cfRule>
  </conditionalFormatting>
  <conditionalFormatting sqref="B17">
    <cfRule type="expression" dxfId="46" priority="8">
      <formula>B17&lt;&gt;""</formula>
    </cfRule>
  </conditionalFormatting>
  <conditionalFormatting sqref="B17">
    <cfRule type="expression" dxfId="45" priority="7">
      <formula>B17&lt;&gt;""</formula>
    </cfRule>
  </conditionalFormatting>
  <conditionalFormatting sqref="B18">
    <cfRule type="expression" dxfId="44" priority="6">
      <formula>B18&lt;&gt;""</formula>
    </cfRule>
  </conditionalFormatting>
  <conditionalFormatting sqref="B18">
    <cfRule type="expression" dxfId="43" priority="5">
      <formula>B18&lt;&gt;""</formula>
    </cfRule>
  </conditionalFormatting>
  <conditionalFormatting sqref="B18">
    <cfRule type="expression" dxfId="42" priority="4">
      <formula>B18&lt;&gt;""</formula>
    </cfRule>
  </conditionalFormatting>
  <conditionalFormatting sqref="B19">
    <cfRule type="expression" dxfId="41" priority="3">
      <formula>B19&lt;&gt;""</formula>
    </cfRule>
  </conditionalFormatting>
  <conditionalFormatting sqref="B19">
    <cfRule type="expression" dxfId="40" priority="2">
      <formula>B19&lt;&gt;""</formula>
    </cfRule>
  </conditionalFormatting>
  <conditionalFormatting sqref="B19">
    <cfRule type="expression" dxfId="39" priority="1">
      <formula>B19&lt;&gt;""</formula>
    </cfRule>
  </conditionalFormatting>
  <dataValidations count="2">
    <dataValidation type="list" allowBlank="1" showInputMessage="1" showErrorMessage="1" sqref="I9:I19">
      <formula1>"Selenium:○,Seleniumu:△,Selenium:×,JUnit:○,JUnit:△,Junit:×,手動実行,机上"</formula1>
    </dataValidation>
    <dataValidation type="list" allowBlank="1" showInputMessage="1" showErrorMessage="1" sqref="C9:C19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zoomScale="70" zoomScaleNormal="70" workbookViewId="0">
      <pane ySplit="8" topLeftCell="A9" activePane="bottomLeft" state="frozen"/>
      <selection pane="bottomLeft" activeCell="H9" sqref="H9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45" t="s">
        <v>6</v>
      </c>
      <c r="B1" s="46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15">
      <c r="A2" s="47" t="s">
        <v>20</v>
      </c>
      <c r="B2" s="48"/>
      <c r="C2" s="51">
        <f>COUNTA($D$9:$D$65505)</f>
        <v>1</v>
      </c>
      <c r="D2" s="21" t="str">
        <f>大中項目!B1</f>
        <v>DTSH</v>
      </c>
      <c r="E2" s="19" t="str">
        <f>大中項目!A17</f>
        <v>DTSH04</v>
      </c>
      <c r="F2" s="9" t="s">
        <v>70</v>
      </c>
      <c r="G2" s="9"/>
      <c r="H2" s="8"/>
    </row>
    <row r="3" spans="1:10" x14ac:dyDescent="0.15">
      <c r="A3" s="49"/>
      <c r="B3" s="50"/>
      <c r="C3" s="52"/>
      <c r="D3" s="21" t="str">
        <f>大中項目!B2</f>
        <v>データベースシャーディング</v>
      </c>
      <c r="E3" s="19" t="str">
        <f>大中項目!B17</f>
        <v>Serviceクラスの引数がないメソッドに@ShardWithAccountを付与し、デフォルトDBにアクセスすること</v>
      </c>
      <c r="F3" s="9">
        <v>43073</v>
      </c>
      <c r="G3" s="9"/>
      <c r="H3" s="9"/>
    </row>
    <row r="4" spans="1:10" x14ac:dyDescent="0.15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15">
      <c r="A5" s="53" t="s">
        <v>13</v>
      </c>
      <c r="B5" s="54"/>
      <c r="C5" s="54"/>
      <c r="D5" s="54"/>
      <c r="E5" s="54"/>
      <c r="F5" s="54"/>
      <c r="G5" s="54"/>
      <c r="H5" s="54"/>
      <c r="I5" s="55"/>
    </row>
    <row r="6" spans="1:10" ht="42" customHeight="1" x14ac:dyDescent="0.15">
      <c r="A6" s="56" t="s">
        <v>14</v>
      </c>
      <c r="B6" s="57"/>
      <c r="C6" s="57"/>
      <c r="D6" s="57"/>
      <c r="E6" s="57"/>
      <c r="F6" s="57"/>
      <c r="G6" s="57"/>
      <c r="H6" s="57"/>
      <c r="I6" s="58"/>
    </row>
    <row r="7" spans="1:10" x14ac:dyDescent="0.15">
      <c r="A7" s="11"/>
      <c r="B7" s="11"/>
      <c r="C7" s="11"/>
      <c r="D7" s="11"/>
      <c r="E7" s="11"/>
      <c r="F7" s="11"/>
      <c r="G7" s="11"/>
      <c r="H7" s="11"/>
      <c r="I7" s="11"/>
    </row>
    <row r="8" spans="1:10" ht="27" x14ac:dyDescent="0.15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112.5" customHeight="1" x14ac:dyDescent="0.15">
      <c r="A9" s="12" t="str">
        <f>大中項目!C17</f>
        <v>DTSH0401</v>
      </c>
      <c r="B9" s="20">
        <f t="shared" ref="B9:B19" ca="1" si="0">IF(A9&lt;&gt;"",1,INDIRECT(ADDRESS(ROW(B9)-1,COLUMN(B9),4))+1)</f>
        <v>1</v>
      </c>
      <c r="C9" s="13" t="s">
        <v>40</v>
      </c>
      <c r="D9" s="5" t="str">
        <f>大中項目!D17</f>
        <v>Serviceクラスの引数がないメソッドに@ShardWithAccountを付与し、デフォルトDBに削除ができること</v>
      </c>
      <c r="E9" s="14" t="s">
        <v>79</v>
      </c>
      <c r="F9" s="14" t="s">
        <v>49</v>
      </c>
      <c r="G9" s="14"/>
      <c r="H9" s="14" t="s">
        <v>80</v>
      </c>
      <c r="I9" s="15" t="s">
        <v>43</v>
      </c>
      <c r="J9" s="30"/>
    </row>
    <row r="10" spans="1:10" x14ac:dyDescent="0.15">
      <c r="A10" s="16"/>
      <c r="B10" s="20">
        <f t="shared" ca="1" si="0"/>
        <v>2</v>
      </c>
      <c r="C10" s="13"/>
      <c r="D10" s="5"/>
      <c r="E10" s="39"/>
      <c r="F10" s="14"/>
      <c r="G10" s="17"/>
      <c r="H10" s="14"/>
      <c r="I10" s="15"/>
      <c r="J10" s="30"/>
    </row>
    <row r="11" spans="1:10" x14ac:dyDescent="0.15">
      <c r="A11" s="16"/>
      <c r="B11" s="20">
        <f t="shared" ca="1" si="0"/>
        <v>3</v>
      </c>
      <c r="C11" s="13"/>
      <c r="D11" s="44"/>
      <c r="E11" s="39"/>
      <c r="F11" s="14"/>
      <c r="G11" s="17"/>
      <c r="H11" s="14"/>
      <c r="I11" s="15"/>
      <c r="J11" s="30"/>
    </row>
    <row r="12" spans="1:10" x14ac:dyDescent="0.15">
      <c r="A12" s="16"/>
      <c r="B12" s="20">
        <f t="shared" ca="1" si="0"/>
        <v>4</v>
      </c>
      <c r="C12" s="13"/>
      <c r="D12" s="44"/>
      <c r="E12" s="14"/>
      <c r="F12" s="14"/>
      <c r="G12" s="17"/>
      <c r="H12" s="14"/>
      <c r="I12" s="15"/>
      <c r="J12" s="30"/>
    </row>
    <row r="13" spans="1:10" x14ac:dyDescent="0.15">
      <c r="A13" s="16"/>
      <c r="B13" s="20">
        <f t="shared" ca="1" si="0"/>
        <v>5</v>
      </c>
      <c r="C13" s="13"/>
      <c r="D13" s="17"/>
      <c r="E13" s="14"/>
      <c r="F13" s="17"/>
      <c r="G13" s="17"/>
      <c r="H13" s="17"/>
      <c r="I13" s="15"/>
      <c r="J13" s="30"/>
    </row>
    <row r="14" spans="1:10" x14ac:dyDescent="0.15">
      <c r="A14" s="16"/>
      <c r="B14" s="20">
        <f t="shared" ca="1" si="0"/>
        <v>6</v>
      </c>
      <c r="C14" s="13"/>
      <c r="D14" s="17"/>
      <c r="E14" s="14"/>
      <c r="F14" s="17"/>
      <c r="G14" s="17"/>
      <c r="H14" s="17"/>
      <c r="I14" s="15"/>
      <c r="J14" s="30"/>
    </row>
    <row r="15" spans="1:10" x14ac:dyDescent="0.15">
      <c r="A15" s="16"/>
      <c r="B15" s="20">
        <f t="shared" ca="1" si="0"/>
        <v>7</v>
      </c>
      <c r="C15" s="13"/>
      <c r="D15" s="17"/>
      <c r="E15" s="14"/>
      <c r="F15" s="17"/>
      <c r="G15" s="17"/>
      <c r="H15" s="17"/>
      <c r="I15" s="15"/>
      <c r="J15" s="30"/>
    </row>
    <row r="16" spans="1:10" x14ac:dyDescent="0.15">
      <c r="A16" s="16"/>
      <c r="B16" s="20">
        <f t="shared" ca="1" si="0"/>
        <v>8</v>
      </c>
      <c r="C16" s="13"/>
      <c r="D16" s="17"/>
      <c r="E16" s="17"/>
      <c r="F16" s="17"/>
      <c r="G16" s="17"/>
      <c r="H16" s="17"/>
      <c r="I16" s="15"/>
      <c r="J16" s="30"/>
    </row>
    <row r="17" spans="1:10" x14ac:dyDescent="0.15">
      <c r="A17" s="16"/>
      <c r="B17" s="20">
        <f t="shared" ca="1" si="0"/>
        <v>9</v>
      </c>
      <c r="C17" s="13"/>
      <c r="D17" s="17"/>
      <c r="E17" s="17"/>
      <c r="F17" s="17"/>
      <c r="G17" s="17"/>
      <c r="H17" s="17"/>
      <c r="I17" s="15"/>
      <c r="J17" s="30"/>
    </row>
    <row r="18" spans="1:10" x14ac:dyDescent="0.15">
      <c r="A18" s="16"/>
      <c r="B18" s="20">
        <f t="shared" ca="1" si="0"/>
        <v>10</v>
      </c>
      <c r="C18" s="13"/>
      <c r="D18" s="17"/>
      <c r="E18" s="17"/>
      <c r="F18" s="17"/>
      <c r="G18" s="17"/>
      <c r="H18" s="17"/>
      <c r="I18" s="15"/>
      <c r="J18" s="30"/>
    </row>
    <row r="19" spans="1:10" x14ac:dyDescent="0.15">
      <c r="A19" s="18"/>
      <c r="B19" s="22">
        <f t="shared" ca="1" si="0"/>
        <v>11</v>
      </c>
      <c r="C19" s="13"/>
      <c r="D19" s="17"/>
      <c r="E19" s="17"/>
      <c r="F19" s="17"/>
      <c r="G19" s="17"/>
      <c r="H19" s="17"/>
      <c r="I19" s="15"/>
      <c r="J19" s="30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34" priority="35">
      <formula>A9&lt;&gt;""</formula>
    </cfRule>
  </conditionalFormatting>
  <conditionalFormatting sqref="B9:B19">
    <cfRule type="expression" dxfId="33" priority="34">
      <formula>B9&lt;&gt;""</formula>
    </cfRule>
  </conditionalFormatting>
  <conditionalFormatting sqref="B9">
    <cfRule type="expression" dxfId="32" priority="33">
      <formula>B9&lt;&gt;""</formula>
    </cfRule>
  </conditionalFormatting>
  <conditionalFormatting sqref="B9">
    <cfRule type="expression" dxfId="31" priority="32">
      <formula>B9&lt;&gt;""</formula>
    </cfRule>
  </conditionalFormatting>
  <conditionalFormatting sqref="B9">
    <cfRule type="expression" dxfId="30" priority="31">
      <formula>B9&lt;&gt;""</formula>
    </cfRule>
  </conditionalFormatting>
  <conditionalFormatting sqref="B10">
    <cfRule type="expression" dxfId="29" priority="30">
      <formula>B10&lt;&gt;""</formula>
    </cfRule>
  </conditionalFormatting>
  <conditionalFormatting sqref="B10">
    <cfRule type="expression" dxfId="28" priority="29">
      <formula>B10&lt;&gt;""</formula>
    </cfRule>
  </conditionalFormatting>
  <conditionalFormatting sqref="B10">
    <cfRule type="expression" dxfId="27" priority="28">
      <formula>B10&lt;&gt;""</formula>
    </cfRule>
  </conditionalFormatting>
  <conditionalFormatting sqref="B11">
    <cfRule type="expression" dxfId="26" priority="27">
      <formula>B11&lt;&gt;""</formula>
    </cfRule>
  </conditionalFormatting>
  <conditionalFormatting sqref="B11">
    <cfRule type="expression" dxfId="25" priority="26">
      <formula>B11&lt;&gt;""</formula>
    </cfRule>
  </conditionalFormatting>
  <conditionalFormatting sqref="B11">
    <cfRule type="expression" dxfId="24" priority="25">
      <formula>B11&lt;&gt;""</formula>
    </cfRule>
  </conditionalFormatting>
  <conditionalFormatting sqref="B12">
    <cfRule type="expression" dxfId="23" priority="24">
      <formula>B12&lt;&gt;""</formula>
    </cfRule>
  </conditionalFormatting>
  <conditionalFormatting sqref="B12">
    <cfRule type="expression" dxfId="22" priority="23">
      <formula>B12&lt;&gt;""</formula>
    </cfRule>
  </conditionalFormatting>
  <conditionalFormatting sqref="B12">
    <cfRule type="expression" dxfId="21" priority="22">
      <formula>B12&lt;&gt;""</formula>
    </cfRule>
  </conditionalFormatting>
  <conditionalFormatting sqref="B13">
    <cfRule type="expression" dxfId="20" priority="21">
      <formula>B13&lt;&gt;""</formula>
    </cfRule>
  </conditionalFormatting>
  <conditionalFormatting sqref="B13">
    <cfRule type="expression" dxfId="19" priority="20">
      <formula>B13&lt;&gt;""</formula>
    </cfRule>
  </conditionalFormatting>
  <conditionalFormatting sqref="B13">
    <cfRule type="expression" dxfId="18" priority="19">
      <formula>B13&lt;&gt;""</formula>
    </cfRule>
  </conditionalFormatting>
  <conditionalFormatting sqref="B14">
    <cfRule type="expression" dxfId="17" priority="18">
      <formula>B14&lt;&gt;""</formula>
    </cfRule>
  </conditionalFormatting>
  <conditionalFormatting sqref="B14">
    <cfRule type="expression" dxfId="16" priority="17">
      <formula>B14&lt;&gt;""</formula>
    </cfRule>
  </conditionalFormatting>
  <conditionalFormatting sqref="B14">
    <cfRule type="expression" dxfId="15" priority="16">
      <formula>B14&lt;&gt;""</formula>
    </cfRule>
  </conditionalFormatting>
  <conditionalFormatting sqref="B15">
    <cfRule type="expression" dxfId="14" priority="15">
      <formula>B15&lt;&gt;""</formula>
    </cfRule>
  </conditionalFormatting>
  <conditionalFormatting sqref="B15">
    <cfRule type="expression" dxfId="13" priority="14">
      <formula>B15&lt;&gt;""</formula>
    </cfRule>
  </conditionalFormatting>
  <conditionalFormatting sqref="B15">
    <cfRule type="expression" dxfId="12" priority="13">
      <formula>B15&lt;&gt;""</formula>
    </cfRule>
  </conditionalFormatting>
  <conditionalFormatting sqref="B16">
    <cfRule type="expression" dxfId="11" priority="12">
      <formula>B16&lt;&gt;""</formula>
    </cfRule>
  </conditionalFormatting>
  <conditionalFormatting sqref="B16">
    <cfRule type="expression" dxfId="10" priority="11">
      <formula>B16&lt;&gt;""</formula>
    </cfRule>
  </conditionalFormatting>
  <conditionalFormatting sqref="B16">
    <cfRule type="expression" dxfId="9" priority="10">
      <formula>B16&lt;&gt;""</formula>
    </cfRule>
  </conditionalFormatting>
  <conditionalFormatting sqref="B17">
    <cfRule type="expression" dxfId="8" priority="9">
      <formula>B17&lt;&gt;""</formula>
    </cfRule>
  </conditionalFormatting>
  <conditionalFormatting sqref="B17">
    <cfRule type="expression" dxfId="7" priority="8">
      <formula>B17&lt;&gt;""</formula>
    </cfRule>
  </conditionalFormatting>
  <conditionalFormatting sqref="B17">
    <cfRule type="expression" dxfId="6" priority="7">
      <formula>B17&lt;&gt;""</formula>
    </cfRule>
  </conditionalFormatting>
  <conditionalFormatting sqref="B18">
    <cfRule type="expression" dxfId="5" priority="6">
      <formula>B18&lt;&gt;""</formula>
    </cfRule>
  </conditionalFormatting>
  <conditionalFormatting sqref="B18">
    <cfRule type="expression" dxfId="4" priority="5">
      <formula>B18&lt;&gt;""</formula>
    </cfRule>
  </conditionalFormatting>
  <conditionalFormatting sqref="B18">
    <cfRule type="expression" dxfId="3" priority="4">
      <formula>B18&lt;&gt;""</formula>
    </cfRule>
  </conditionalFormatting>
  <conditionalFormatting sqref="B19">
    <cfRule type="expression" dxfId="2" priority="3">
      <formula>B19&lt;&gt;""</formula>
    </cfRule>
  </conditionalFormatting>
  <conditionalFormatting sqref="B19">
    <cfRule type="expression" dxfId="1" priority="2">
      <formula>B19&lt;&gt;""</formula>
    </cfRule>
  </conditionalFormatting>
  <conditionalFormatting sqref="B19">
    <cfRule type="expression" dxfId="0" priority="1">
      <formula>B19&lt;&gt;""</formula>
    </cfRule>
  </conditionalFormatting>
  <dataValidations count="2">
    <dataValidation type="list" allowBlank="1" showInputMessage="1" showErrorMessage="1" sqref="C9:C19">
      <formula1>"正常,クライアントエラー,サーバーエラー"</formula1>
    </dataValidation>
    <dataValidation type="list" allowBlank="1" showInputMessage="1" showErrorMessage="1" sqref="I9:I19">
      <formula1>"Selenium:○,Seleniumu:△,Selenium:×,JUnit:○,JUnit:△,Junit:×,手動実行,机上"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大中項目</vt:lpstr>
      <vt:lpstr>DTSH01</vt:lpstr>
      <vt:lpstr>DTSH02</vt:lpstr>
      <vt:lpstr>DTSH03</vt:lpstr>
      <vt:lpstr>DTSH04</vt:lpstr>
      <vt:lpstr>DTSH01!Print_Titles</vt:lpstr>
      <vt:lpstr>DTSH02!Print_Titles</vt:lpstr>
      <vt:lpstr>DTSH03!Print_Titles</vt:lpstr>
      <vt:lpstr>DTSH04!Print_Titles</vt:lpstr>
      <vt:lpstr>大中項目!Print_Titles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btishiwatasns</dc:creator>
  <cp:lastModifiedBy>btnishizawasga</cp:lastModifiedBy>
  <cp:lastPrinted>2013-11-12T01:02:24Z</cp:lastPrinted>
  <dcterms:created xsi:type="dcterms:W3CDTF">2013-11-07T11:05:46Z</dcterms:created>
  <dcterms:modified xsi:type="dcterms:W3CDTF">2017-12-04T06:15:04Z</dcterms:modified>
</cp:coreProperties>
</file>