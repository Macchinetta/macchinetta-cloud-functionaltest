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440" yWindow="3465" windowWidth="25020" windowHeight="8340" activeTab="1"/>
  </bookViews>
  <sheets>
    <sheet name="大中項目" sheetId="1" r:id="rId1"/>
    <sheet name="UPSC01" sheetId="6" r:id="rId2"/>
    <sheet name="試験実施手順" sheetId="7" r:id="rId3"/>
  </sheets>
  <definedNames>
    <definedName name="_xlnm.Print_Titles" localSheetId="1">UPSC01!$1:$8</definedName>
    <definedName name="_xlnm.Print_Titles" localSheetId="0">大中項目!$1:$4</definedName>
  </definedNames>
  <calcPr calcId="162913"/>
</workbook>
</file>

<file path=xl/calcChain.xml><?xml version="1.0" encoding="utf-8"?>
<calcChain xmlns="http://schemas.openxmlformats.org/spreadsheetml/2006/main">
  <c r="A5" i="1" l="1"/>
  <c r="C5" i="1" l="1"/>
  <c r="A9" i="6" l="1"/>
  <c r="E3" i="6"/>
  <c r="E2" i="6"/>
  <c r="D3" i="6" l="1"/>
  <c r="D2" i="6"/>
  <c r="A14" i="1"/>
  <c r="A12" i="1"/>
  <c r="A11" i="1"/>
  <c r="A9" i="1"/>
  <c r="A7" i="1"/>
  <c r="A13" i="1"/>
  <c r="A10" i="1"/>
  <c r="A8" i="1"/>
  <c r="A6" i="1"/>
  <c r="B9" i="6"/>
  <c r="B10" i="6"/>
  <c r="C6" i="1" l="1"/>
  <c r="B11" i="6"/>
  <c r="C7" i="1" l="1"/>
  <c r="B12" i="6"/>
  <c r="C8" i="1" l="1"/>
  <c r="C2" i="6"/>
  <c r="B13" i="6"/>
  <c r="C9" i="1" l="1"/>
  <c r="B14" i="6"/>
  <c r="C10" i="1" l="1"/>
  <c r="B15" i="6"/>
  <c r="C11" i="1" l="1"/>
  <c r="B16" i="6"/>
  <c r="C12" i="1" l="1"/>
  <c r="B17" i="6"/>
  <c r="C13" i="1" l="1"/>
  <c r="B18" i="6"/>
  <c r="C14" i="1" l="1"/>
  <c r="B19" i="6"/>
</calcChain>
</file>

<file path=xl/sharedStrings.xml><?xml version="1.0" encoding="utf-8"?>
<sst xmlns="http://schemas.openxmlformats.org/spreadsheetml/2006/main" count="66" uniqueCount="63">
  <si>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</si>
  <si>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</si>
  <si>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</si>
  <si>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</si>
  <si>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</si>
  <si>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</si>
  <si>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</si>
  <si>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</si>
  <si>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</si>
  <si>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</si>
  <si>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</si>
  <si>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</si>
  <si>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</si>
  <si>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</si>
  <si>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</si>
  <si>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</si>
  <si>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</si>
  <si>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</si>
  <si>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</si>
  <si>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</si>
  <si>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</si>
  <si>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</si>
  <si>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</si>
  <si>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</si>
  <si>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総件数</t>
    <rPh sb="0" eb="3">
      <t>ソウケンスウ</t>
    </rPh>
    <phoneticPr fontId="2"/>
  </si>
  <si>
    <t>小松原 健</t>
    <rPh sb="0" eb="3">
      <t>コマツバラ</t>
    </rPh>
    <rPh sb="4" eb="5">
      <t>タケシ</t>
    </rPh>
    <phoneticPr fontId="2"/>
  </si>
  <si>
    <t>正常</t>
  </si>
  <si>
    <t>手動実行</t>
  </si>
  <si>
    <t>更新した静的コンテンツがキャッシュタイムアウトを待たずに取得できることを確認する。</t>
  </si>
  <si>
    <t>更新した静的コンテンツがキャッシュタイムアウトを待たずに取得できることを確認する。</t>
    <rPh sb="0" eb="2">
      <t>コウシン</t>
    </rPh>
    <rPh sb="4" eb="6">
      <t>セイテキ</t>
    </rPh>
    <rPh sb="24" eb="25">
      <t>マ</t>
    </rPh>
    <rPh sb="28" eb="30">
      <t>シュトク</t>
    </rPh>
    <rPh sb="36" eb="38">
      <t>カクニン</t>
    </rPh>
    <phoneticPr fontId="2"/>
  </si>
  <si>
    <t>オリジンサーバからCDNを通して静的コンテンツを配信できるようにする。
オリジンサーバにHTMLファイルと2つの異なる画像ファイルを配置し、HTMLファイルでどちらか一方の画像ファイルを読み込むように記述する。</t>
    <rPh sb="13" eb="14">
      <t>トオ</t>
    </rPh>
    <rPh sb="16" eb="18">
      <t>セイテキ</t>
    </rPh>
    <rPh sb="24" eb="26">
      <t>ハイシン</t>
    </rPh>
    <rPh sb="57" eb="58">
      <t>コト</t>
    </rPh>
    <rPh sb="60" eb="62">
      <t>ガゾウ</t>
    </rPh>
    <rPh sb="67" eb="69">
      <t>ハイチ</t>
    </rPh>
    <rPh sb="84" eb="86">
      <t>イッポウ</t>
    </rPh>
    <rPh sb="87" eb="89">
      <t>ガゾウ</t>
    </rPh>
    <rPh sb="94" eb="95">
      <t>ヨ</t>
    </rPh>
    <rPh sb="96" eb="97">
      <t>コ</t>
    </rPh>
    <rPh sb="101" eb="103">
      <t>キジュツ</t>
    </rPh>
    <phoneticPr fontId="2"/>
  </si>
  <si>
    <t>更新後の静的コンテンツの配信</t>
    <rPh sb="0" eb="3">
      <t>コウシンゴ</t>
    </rPh>
    <rPh sb="4" eb="6">
      <t>セイテキ</t>
    </rPh>
    <rPh sb="12" eb="14">
      <t>ハイシン</t>
    </rPh>
    <phoneticPr fontId="2"/>
  </si>
  <si>
    <t>CDN利用時の更新後の静的コンテンツの配信</t>
    <rPh sb="3" eb="6">
      <t>リヨウジ</t>
    </rPh>
    <rPh sb="7" eb="10">
      <t>コウシンゴ</t>
    </rPh>
    <rPh sb="11" eb="13">
      <t>セイテキ</t>
    </rPh>
    <rPh sb="19" eb="21">
      <t>ハイシン</t>
    </rPh>
    <phoneticPr fontId="2"/>
  </si>
  <si>
    <t>UPSC</t>
    <phoneticPr fontId="2"/>
  </si>
  <si>
    <t xml:space="preserve">Amazon S3のバケットとAmazon Cloud Front のウェブディストリビューションを作成する。S3からCloudFrontを利用して、静的コンテンツを配信できる状態にする。
詳細手順は以下のドキュメントを参照する。
http://docs.aws.amazon.com/ja_jp/AmazonCloudFront/latest/DeveloperGuide/GettingStarted.html
S3にHTMLファイルA、2つの異なる画像ファイルB,Cを配置する。HTMLファイルでは、画像ファイルBを読み込むように記述する。
</t>
    <rPh sb="225" eb="226">
      <t>コト</t>
    </rPh>
    <rPh sb="228" eb="230">
      <t>ガゾウ</t>
    </rPh>
    <rPh sb="238" eb="240">
      <t>ハイチ</t>
    </rPh>
    <rPh sb="254" eb="256">
      <t>ガゾウ</t>
    </rPh>
    <rPh sb="262" eb="263">
      <t>ヨ</t>
    </rPh>
    <rPh sb="264" eb="265">
      <t>コ</t>
    </rPh>
    <rPh sb="269" eb="271">
      <t>キジュツ</t>
    </rPh>
    <phoneticPr fontId="2"/>
  </si>
  <si>
    <t>1. S3には以下のように資材を配置する。`index.html`では、`${S3BucketRoot}/resources/v1/images/train.jpg`をCloudFront経由で読み込むように記述しておく。</t>
  </si>
  <si>
    <t xml:space="preserve">    ```</t>
  </si>
  <si>
    <t xml:space="preserve">        ${S3BucketRoot}</t>
  </si>
  <si>
    <t xml:space="preserve">        ├─ resources</t>
  </si>
  <si>
    <t xml:space="preserve">        │    ├─ v1</t>
  </si>
  <si>
    <t xml:space="preserve">        │    │   └─ train.jpg</t>
  </si>
  <si>
    <t xml:space="preserve">        │    └─ v2</t>
  </si>
  <si>
    <t xml:space="preserve">        │        └─ train.jpg</t>
  </si>
  <si>
    <t xml:space="preserve">        └─ index.html</t>
  </si>
  <si>
    <t>2. Internet Explorer(以下IEと記述する)を起動して、「開発者ツール」を表示する。</t>
  </si>
  <si>
    <t>3. 「開発者ツール」の「ネットワーク」タブを選択し、緑色の右向き矢印のボタン「ネットワークトラフィックのキャプチャを有効にする」を押す。</t>
  </si>
  <si>
    <t>4. IEから `http://d3dxhjyhk6ygz9.cloudfront.net/index.html`に2回アクセスして`${S3BucketRoot}/resources/v1/images/train.jpg`が表示されるか確認する。</t>
  </si>
  <si>
    <t xml:space="preserve">    - `d3dxhjyhk6ygz9.cloudfront.net`はCloudFrontのドメイン名の設定によるので、適宜変更する必要がある。</t>
  </si>
  <si>
    <t>5. IEの「開発者ツール」のネットワークタブの赤色の四角ボタン「ネットワークトラフィックのキャプチャを無効にする」を押す。「詳細」の「応答ヘッダ」で`index.html`の「X-Cache」を参照し、「X-Cache」の値が「Hit from cloudfront」になっていることを確認する。</t>
  </si>
  <si>
    <t>6. S3上のindex.htmlの以下の画像を読み込んでいるパスの`v1`の部分を`v2`に切り替え、`v2`フォルダ配下にある画像を読み込むように変更する。</t>
  </si>
  <si>
    <t xml:space="preserve">    ```html</t>
  </si>
  <si>
    <t xml:space="preserve">        &lt;img id="trainImg" src="http://d3dxhjyhk6ygz9.cloudfront.net/resources/v1/images/train.jpg" alt="リソース画像ファイル"&gt;</t>
  </si>
  <si>
    <t>7. パスを書き換えた後はCloudFrontからindex.htmlファイルのキャッシュを削除する。</t>
  </si>
  <si>
    <t xml:space="preserve">    - CloudFrontからindex.htmlファイルのキャッシュを削除するAmazon CLIコマンドは以下の通りである。</t>
  </si>
  <si>
    <t xml:space="preserve">        ```bat</t>
  </si>
  <si>
    <t xml:space="preserve">            aws cloudfront create-invalidation --distribution-id E25QWXX5SEMZCI --paths /index.html</t>
  </si>
  <si>
    <t xml:space="preserve">        ```</t>
  </si>
  <si>
    <t xml:space="preserve">    - `--distribution-id`に与える引数`E25QWXX5SEMZCI`はCloudFrontのディストリビューションごとに異なるため変更する必要がある。</t>
  </si>
  <si>
    <t>8. IEの「開発者ツール」の「ネットワーク」タブを選択し、緑色の右向き矢印のボタン「ネットワークトラフィックのキャプチャを有効にする」を押す。</t>
  </si>
  <si>
    <t>9. IEから`http://d3dxhjyhk6ygz9.cloudfront.net/index.html`に2回アクセスし、`${S3BucketRoot}/resources/v2/images/train.jpg`が表示されるか確認する。</t>
  </si>
  <si>
    <t>10. IEの「開発者ツール」のネットワークタブの赤色の四角ボタン「ネットワークトラフィックのキャプチャを無効にする」を押す。「詳細」の「応答ヘッダ」で`index.html`の「X-Cache」を参照し、「X-Cache」の値が「Hit from cloudfront」になっていることを確認する。</t>
  </si>
  <si>
    <t>画像ファイルBが表示されることを確認する。
「X-Cache」を参照し、「X-Cache」の値が「Hit from cloudfront」になっていることを確認する。
画像ファイルCが表示されることを確認する。
「X-Cache」を参照し、「X-Cache」の値が「Hit from cloudfront」になっていることを確認する。</t>
    <rPh sb="0" eb="2">
      <t>ガゾウ</t>
    </rPh>
    <rPh sb="8" eb="10">
      <t>ヒョウジ</t>
    </rPh>
    <rPh sb="16" eb="18">
      <t>カクニン</t>
    </rPh>
    <rPh sb="85" eb="87">
      <t>ガゾウ</t>
    </rPh>
    <rPh sb="93" eb="95">
      <t>ヒョウジ</t>
    </rPh>
    <rPh sb="101" eb="103">
      <t>カクニン</t>
    </rPh>
    <phoneticPr fontId="2"/>
  </si>
  <si>
    <t>CloudFront経由で、HTMLファイルAにアクセスする。
HTMLファイルAで画像ファイルCを読み込むように記述を更新する。CloudFrontからHTMLファイルAのキャッシュをクリアする。CloudFrontのキャッシュクリアが完了次第、CloudFront経由でHTMLファイルAにアクセスする。
詳細な手順は「試験実施手順」シートを確認すること。</t>
    <rPh sb="157" eb="159">
      <t>ショウサイ</t>
    </rPh>
    <rPh sb="160" eb="162">
      <t>テジュン</t>
    </rPh>
    <rPh sb="175" eb="177">
      <t>カクニン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</si>
</sst>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lt;=999]000;[&lt;=9999]000\-00;000\-0000"/>
  </numFmts>
  <fonts count="10"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
      <sz val="11"/>
      <color rgb="FF333333"/>
      <name val="Arial"/>
      <family val="2"/>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49">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pplyAlignment="1">
      <alignment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0" borderId="3" xfId="2" applyNumberFormat="1" applyFill="1" applyBorder="1" applyAlignment="1">
      <alignment horizontal="center" vertical="top" wrapText="1"/>
    </xf>
    <xf numFmtId="49" fontId="6" fillId="0" borderId="1" xfId="2" applyNumberFormat="1" applyFill="1" applyBorder="1" applyAlignment="1">
      <alignment horizontal="left" vertical="top" wrapText="1"/>
    </xf>
    <xf numFmtId="176" fontId="6" fillId="0" borderId="4" xfId="2" applyNumberFormat="1" applyFill="1" applyBorder="1" applyAlignment="1">
      <alignment horizontal="center" vertical="top" wrapText="1"/>
    </xf>
    <xf numFmtId="0" fontId="6" fillId="0" borderId="1" xfId="2" applyNumberFormat="1" applyBorder="1" applyAlignment="1">
      <alignment horizontal="center" vertical="center"/>
    </xf>
    <xf numFmtId="176" fontId="6" fillId="4" borderId="2" xfId="2" applyNumberFormat="1" applyFill="1" applyBorder="1" applyAlignment="1">
      <alignment horizontal="center" vertical="top" wrapText="1"/>
    </xf>
    <xf numFmtId="0" fontId="6" fillId="4" borderId="1" xfId="2" applyNumberFormat="1"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4" borderId="0" xfId="0" applyFill="1" applyAlignment="1">
      <alignment horizontal="center" vertical="top"/>
    </xf>
    <xf numFmtId="0" fontId="0" fillId="4" borderId="3" xfId="0" applyFill="1" applyBorder="1" applyAlignment="1">
      <alignment horizontal="center" vertical="top"/>
    </xf>
    <xf numFmtId="0" fontId="5" fillId="4" borderId="3" xfId="1" applyFill="1" applyBorder="1" applyAlignment="1" applyProtection="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xf>
    <xf numFmtId="0" fontId="0" fillId="2" borderId="1" xfId="0" applyFill="1" applyBorder="1" applyAlignment="1">
      <alignment horizontal="center" vertical="center"/>
    </xf>
    <xf numFmtId="0" fontId="0" fillId="0" borderId="12" xfId="0" applyBorder="1" applyAlignment="1">
      <alignment horizontal="left" vertical="top"/>
    </xf>
    <xf numFmtId="0" fontId="9" fillId="0" borderId="0" xfId="0" applyFont="1">
      <alignment vertical="center"/>
    </xf>
    <xf numFmtId="0" fontId="0" fillId="0" borderId="0" xfId="0" applyAlignment="1">
      <alignment vertical="top" wrapText="1"/>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cellStyles>
  <dxfs count="71">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zoomScale="80" zoomScaleNormal="80" workbookViewId="0">
      <pane ySplit="4" topLeftCell="A5" activePane="bottomLeft" state="frozen"/>
      <selection pane="bottomLeft" activeCell="D11" sqref="D11"/>
    </sheetView>
  </sheetViews>
  <sheetFormatPr defaultRowHeight="13.5" x14ac:dyDescent="0.15"/>
  <cols>
    <col min="1" max="1" width="9.75" bestFit="1" customWidth="1"/>
    <col min="2" max="2" width="41.25" customWidth="1"/>
    <col min="3" max="3" width="13.625" customWidth="1"/>
    <col min="4" max="4" width="75" customWidth="1"/>
  </cols>
  <sheetData>
    <row r="1" spans="1:4" ht="14.25" x14ac:dyDescent="0.15">
      <c r="A1" s="1" t="s">
        <v>0</v>
      </c>
      <c r="B1" s="33" t="s">
        <v>33</v>
      </c>
      <c r="C1" s="31" t="s">
        <v>24</v>
      </c>
    </row>
    <row r="2" spans="1:4" x14ac:dyDescent="0.15">
      <c r="A2" s="3" t="s">
        <v>1</v>
      </c>
      <c r="B2" s="2" t="s">
        <v>32</v>
      </c>
      <c r="C2" s="2"/>
    </row>
    <row r="4" spans="1:4" x14ac:dyDescent="0.15">
      <c r="A4" s="4" t="s">
        <v>2</v>
      </c>
      <c r="B4" s="4" t="s">
        <v>3</v>
      </c>
      <c r="C4" s="4" t="s">
        <v>4</v>
      </c>
      <c r="D4" s="4" t="s">
        <v>5</v>
      </c>
    </row>
    <row r="5" spans="1:4" x14ac:dyDescent="0.15">
      <c r="A5" s="26" t="str">
        <f>IF(B5="","",($B$1&amp;TEXT(IF(B5="","",COUNTA($B$5:B5)),"00")))</f>
        <v>UPSC01</v>
      </c>
      <c r="B5" s="23" t="s">
        <v>31</v>
      </c>
      <c r="C5" s="30" t="str">
        <f>IF(B5="",($B$1&amp;TEXT(IF(B5="",COUNTA($B$5:B5),1),"00")),A5)&amp;IF(B5&lt;&gt;"",TEXT(1,"00"),TEXT(IF(A5&lt;&gt;"",1,RIGHT(C4,2)+1),"00"))</f>
        <v>UPSC0101</v>
      </c>
      <c r="D5" s="5" t="s">
        <v>28</v>
      </c>
    </row>
    <row r="6" spans="1:4" x14ac:dyDescent="0.15">
      <c r="A6" s="27" t="str">
        <f>IF(B6="","",($B$1&amp;TEXT(IF(B6="","",COUNTA($B$5:B6)),"00")))</f>
        <v/>
      </c>
      <c r="B6" s="24"/>
      <c r="C6" s="30" t="str">
        <f>IF(B6="",($B$1&amp;TEXT(IF(B6="",COUNTA($B$5:B6),1),"00")),A6)&amp;IF(B6&lt;&gt;"",TEXT(1,"00"),TEXT(IF(A6&lt;&gt;"",1,RIGHT(C5,2)+1),"00"))</f>
        <v>UPSC0102</v>
      </c>
      <c r="D6" s="5"/>
    </row>
    <row r="7" spans="1:4" x14ac:dyDescent="0.15">
      <c r="A7" s="27" t="str">
        <f>IF(B7="","",($B$1&amp;TEXT(IF(B7="","",COUNTA($B$5:B7)),"00")))</f>
        <v/>
      </c>
      <c r="B7" s="24"/>
      <c r="C7" s="30" t="str">
        <f>IF(B7="",($B$1&amp;TEXT(IF(B7="",COUNTA($B$5:B7),1),"00")),A7)&amp;IF(B7&lt;&gt;"",TEXT(1,"00"),TEXT(IF(A7&lt;&gt;"",1,RIGHT(C6,2)+1),"00"))</f>
        <v>UPSC0103</v>
      </c>
      <c r="D7" s="5"/>
    </row>
    <row r="8" spans="1:4" x14ac:dyDescent="0.15">
      <c r="A8" s="26" t="str">
        <f>IF(B8="","",($B$1&amp;TEXT(IF(B8="","",COUNTA($B$5:B8)),"00")))</f>
        <v/>
      </c>
      <c r="B8" s="24"/>
      <c r="C8" s="30" t="str">
        <f>IF(B8="",($B$1&amp;TEXT(IF(B8="",COUNTA($B$5:B8),1),"00")),A8)&amp;IF(B8&lt;&gt;"",TEXT(1,"00"),TEXT(IF(A8&lt;&gt;"",1,RIGHT(C7,2)+1),"00"))</f>
        <v>UPSC0104</v>
      </c>
      <c r="D8" s="5"/>
    </row>
    <row r="9" spans="1:4" x14ac:dyDescent="0.15">
      <c r="A9" s="27" t="str">
        <f>IF(B9="","",($B$1&amp;TEXT(IF(B9="","",COUNTA($B$5:B9)),"00")))</f>
        <v/>
      </c>
      <c r="B9" s="24"/>
      <c r="C9" s="30" t="str">
        <f>IF(B9="",($B$1&amp;TEXT(IF(B9="",COUNTA($B$5:B9),1),"00")),A9)&amp;IF(B9&lt;&gt;"",TEXT(1,"00"),TEXT(IF(A9&lt;&gt;"",1,RIGHT(C8,2)+1),"00"))</f>
        <v>UPSC0105</v>
      </c>
      <c r="D9" s="5"/>
    </row>
    <row r="10" spans="1:4" x14ac:dyDescent="0.15">
      <c r="A10" s="28" t="str">
        <f>IF(B10="","",($B$1&amp;TEXT(IF(B10="","",COUNTA($B$5:B10)),"00")))</f>
        <v/>
      </c>
      <c r="B10" s="24"/>
      <c r="C10" s="30" t="str">
        <f>IF(B10="",($B$1&amp;TEXT(IF(B10="",COUNTA($B$5:B10),1),"00")),A10)&amp;IF(B10&lt;&gt;"",TEXT(1,"00"),TEXT(IF(A10&lt;&gt;"",1,RIGHT(C9,2)+1),"00"))</f>
        <v>UPSC0106</v>
      </c>
      <c r="D10" s="5"/>
    </row>
    <row r="11" spans="1:4" x14ac:dyDescent="0.15">
      <c r="A11" s="27" t="str">
        <f>IF(B11="","",($B$1&amp;TEXT(IF(B11="","",COUNTA($B$5:B11)),"00")))</f>
        <v/>
      </c>
      <c r="B11" s="24"/>
      <c r="C11" s="30" t="str">
        <f>IF(B11="",($B$1&amp;TEXT(IF(B11="",COUNTA($B$5:B11),1),"00")),A11)&amp;IF(B11&lt;&gt;"",TEXT(1,"00"),TEXT(IF(A11&lt;&gt;"",1,RIGHT(C10,2)+1),"00"))</f>
        <v>UPSC0107</v>
      </c>
      <c r="D11" s="5"/>
    </row>
    <row r="12" spans="1:4" x14ac:dyDescent="0.15">
      <c r="A12" s="27" t="str">
        <f>IF(B12="","",($B$1&amp;TEXT(IF(B12="","",COUNTA($B$5:B12)),"00")))</f>
        <v/>
      </c>
      <c r="B12" s="24"/>
      <c r="C12" s="30" t="str">
        <f>IF(B12="",($B$1&amp;TEXT(IF(B12="",COUNTA($B$5:B12),1),"00")),A12)&amp;IF(B12&lt;&gt;"",TEXT(1,"00"),TEXT(IF(A12&lt;&gt;"",1,RIGHT(C11,2)+1),"00"))</f>
        <v>UPSC0108</v>
      </c>
      <c r="D12" s="5"/>
    </row>
    <row r="13" spans="1:4" x14ac:dyDescent="0.15">
      <c r="A13" s="28" t="str">
        <f>IF(B13="","",($B$1&amp;TEXT(IF(B13="","",COUNTA($B$5:B13)),"00")))</f>
        <v/>
      </c>
      <c r="B13" s="24"/>
      <c r="C13" s="30" t="str">
        <f>IF(B13="",($B$1&amp;TEXT(IF(B13="",COUNTA($B$5:B13),1),"00")),A13)&amp;IF(B13&lt;&gt;"",TEXT(1,"00"),TEXT(IF(A13&lt;&gt;"",1,RIGHT(C12,2)+1),"00"))</f>
        <v>UPSC0109</v>
      </c>
      <c r="D13" s="5"/>
    </row>
    <row r="14" spans="1:4" x14ac:dyDescent="0.15">
      <c r="A14" s="29" t="str">
        <f>IF(B14="","",($B$1&amp;TEXT(IF(B14="","",COUNTA($B$5:B14)),"00")))</f>
        <v/>
      </c>
      <c r="B14" s="25"/>
      <c r="C14" s="30" t="str">
        <f>IF(B14="",($B$1&amp;TEXT(IF(B14="",COUNTA($B$5:B14),1),"00")),A14)&amp;IF(B14&lt;&gt;"",TEXT(1,"00"),TEXT(IF(A14&lt;&gt;"",1,RIGHT(C13,2)+1),"00"))</f>
        <v>UPSC0110</v>
      </c>
      <c r="D14" s="5"/>
    </row>
  </sheetData>
  <phoneticPr fontId="2"/>
  <conditionalFormatting sqref="B5">
    <cfRule type="expression" dxfId="70" priority="41">
      <formula>B5&lt;&gt;""</formula>
    </cfRule>
  </conditionalFormatting>
  <conditionalFormatting sqref="B6">
    <cfRule type="expression" dxfId="69" priority="40">
      <formula>B6&lt;&gt;""</formula>
    </cfRule>
  </conditionalFormatting>
  <conditionalFormatting sqref="B7">
    <cfRule type="expression" dxfId="68" priority="39">
      <formula>B7&lt;&gt;""</formula>
    </cfRule>
  </conditionalFormatting>
  <conditionalFormatting sqref="B8">
    <cfRule type="expression" dxfId="67" priority="38">
      <formula>B8&lt;&gt;""</formula>
    </cfRule>
  </conditionalFormatting>
  <conditionalFormatting sqref="B9">
    <cfRule type="expression" dxfId="66" priority="37">
      <formula>B9&lt;&gt;""</formula>
    </cfRule>
  </conditionalFormatting>
  <conditionalFormatting sqref="B10">
    <cfRule type="expression" dxfId="65" priority="36">
      <formula>B10&lt;&gt;""</formula>
    </cfRule>
  </conditionalFormatting>
  <conditionalFormatting sqref="B11">
    <cfRule type="expression" dxfId="64" priority="35">
      <formula>B11&lt;&gt;""</formula>
    </cfRule>
  </conditionalFormatting>
  <conditionalFormatting sqref="B12">
    <cfRule type="expression" dxfId="63" priority="34">
      <formula>B12&lt;&gt;""</formula>
    </cfRule>
  </conditionalFormatting>
  <conditionalFormatting sqref="B13">
    <cfRule type="expression" dxfId="62" priority="33">
      <formula>B13&lt;&gt;""</formula>
    </cfRule>
  </conditionalFormatting>
  <conditionalFormatting sqref="B14">
    <cfRule type="expression" dxfId="61" priority="32">
      <formula>B14&lt;&gt;""</formula>
    </cfRule>
  </conditionalFormatting>
  <conditionalFormatting sqref="A8">
    <cfRule type="expression" dxfId="60" priority="28">
      <formula>A8&lt;&gt;""</formula>
    </cfRule>
  </conditionalFormatting>
  <conditionalFormatting sqref="A9">
    <cfRule type="expression" dxfId="59" priority="27">
      <formula>A9&lt;&gt;""</formula>
    </cfRule>
  </conditionalFormatting>
  <conditionalFormatting sqref="A10">
    <cfRule type="expression" dxfId="58" priority="26">
      <formula>A10&lt;&gt;""</formula>
    </cfRule>
  </conditionalFormatting>
  <conditionalFormatting sqref="A11">
    <cfRule type="expression" dxfId="57" priority="25">
      <formula>A11&lt;&gt;""</formula>
    </cfRule>
  </conditionalFormatting>
  <conditionalFormatting sqref="A12">
    <cfRule type="expression" dxfId="56" priority="24">
      <formula>A12&lt;&gt;""</formula>
    </cfRule>
  </conditionalFormatting>
  <conditionalFormatting sqref="A13">
    <cfRule type="expression" dxfId="55" priority="23">
      <formula>A13&lt;&gt;""</formula>
    </cfRule>
  </conditionalFormatting>
  <conditionalFormatting sqref="A14">
    <cfRule type="expression" dxfId="54" priority="22">
      <formula>A14&lt;&gt;""</formula>
    </cfRule>
  </conditionalFormatting>
  <conditionalFormatting sqref="A14">
    <cfRule type="expression" dxfId="53" priority="21">
      <formula>A14&lt;&gt;""</formula>
    </cfRule>
  </conditionalFormatting>
  <conditionalFormatting sqref="A11">
    <cfRule type="expression" dxfId="52" priority="20">
      <formula>A11&lt;&gt;""</formula>
    </cfRule>
  </conditionalFormatting>
  <conditionalFormatting sqref="A12">
    <cfRule type="expression" dxfId="51" priority="19">
      <formula>A12&lt;&gt;""</formula>
    </cfRule>
  </conditionalFormatting>
  <conditionalFormatting sqref="A6">
    <cfRule type="expression" dxfId="50" priority="16">
      <formula>A6&lt;&gt;""</formula>
    </cfRule>
  </conditionalFormatting>
  <conditionalFormatting sqref="A7">
    <cfRule type="expression" dxfId="49" priority="15">
      <formula>A7&lt;&gt;""</formula>
    </cfRule>
  </conditionalFormatting>
  <conditionalFormatting sqref="A8">
    <cfRule type="expression" dxfId="48" priority="14">
      <formula>A8&lt;&gt;""</formula>
    </cfRule>
  </conditionalFormatting>
  <conditionalFormatting sqref="A9">
    <cfRule type="expression" dxfId="47" priority="13">
      <formula>A9&lt;&gt;""</formula>
    </cfRule>
  </conditionalFormatting>
  <conditionalFormatting sqref="A10">
    <cfRule type="expression" dxfId="46" priority="12">
      <formula>A10&lt;&gt;""</formula>
    </cfRule>
  </conditionalFormatting>
  <conditionalFormatting sqref="A11">
    <cfRule type="expression" dxfId="45" priority="11">
      <formula>A11&lt;&gt;""</formula>
    </cfRule>
  </conditionalFormatting>
  <conditionalFormatting sqref="A12">
    <cfRule type="expression" dxfId="44" priority="10">
      <formula>A12&lt;&gt;""</formula>
    </cfRule>
  </conditionalFormatting>
  <conditionalFormatting sqref="A13">
    <cfRule type="expression" dxfId="43" priority="9">
      <formula>A13&lt;&gt;""</formula>
    </cfRule>
  </conditionalFormatting>
  <conditionalFormatting sqref="A14">
    <cfRule type="expression" dxfId="42" priority="8">
      <formula>A14&lt;&gt;""</formula>
    </cfRule>
  </conditionalFormatting>
  <conditionalFormatting sqref="A7">
    <cfRule type="expression" dxfId="41" priority="7">
      <formula>A7&lt;&gt;""</formula>
    </cfRule>
  </conditionalFormatting>
  <conditionalFormatting sqref="A9">
    <cfRule type="expression" dxfId="40" priority="6">
      <formula>A9&lt;&gt;""</formula>
    </cfRule>
  </conditionalFormatting>
  <conditionalFormatting sqref="A11">
    <cfRule type="expression" dxfId="39" priority="5">
      <formula>A11&lt;&gt;""</formula>
    </cfRule>
  </conditionalFormatting>
  <conditionalFormatting sqref="A12">
    <cfRule type="expression" dxfId="38" priority="4">
      <formula>A12&lt;&gt;""</formula>
    </cfRule>
  </conditionalFormatting>
  <conditionalFormatting sqref="A14">
    <cfRule type="expression" dxfId="37" priority="3">
      <formula>A14&lt;&gt;""</formula>
    </cfRule>
  </conditionalFormatting>
  <conditionalFormatting sqref="A14">
    <cfRule type="expression" dxfId="36" priority="2">
      <formula>A14&lt;&gt;""</formula>
    </cfRule>
  </conditionalFormatting>
  <conditionalFormatting sqref="A5">
    <cfRule type="expression" dxfId="35" priority="1">
      <formula>A5&lt;&gt;""</formula>
    </cfRule>
  </conditionalFormatting>
  <hyperlinks>
    <hyperlink ref="A10" location="PRPT01!A1" display="PRPT01!A1"/>
    <hyperlink ref="A13" location="PRPT01!A1" display="PRPT01!A1"/>
  </hyperlinks>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tabSelected="1" zoomScale="70" zoomScaleNormal="70" workbookViewId="0">
      <pane ySplit="8" topLeftCell="A9" activePane="bottomLeft" state="frozen"/>
      <selection pane="bottomLeft" activeCell="C9" sqref="C9"/>
    </sheetView>
  </sheetViews>
  <sheetFormatPr defaultRowHeight="13.5" x14ac:dyDescent="0.15"/>
  <cols>
    <col min="1" max="1" width="11.25" customWidth="1"/>
    <col min="2" max="2" width="8.625" customWidth="1"/>
    <col min="3" max="3" width="10.375" customWidth="1"/>
    <col min="4" max="4" width="25.125" customWidth="1"/>
    <col min="5" max="5" width="42.75" customWidth="1"/>
    <col min="6" max="7" width="41.75" customWidth="1"/>
    <col min="8" max="8" width="42" customWidth="1"/>
    <col min="9" max="9" width="16.75" customWidth="1"/>
  </cols>
  <sheetData>
    <row r="1" spans="1:10" ht="27" x14ac:dyDescent="0.15">
      <c r="A1" s="35" t="s">
        <v>6</v>
      </c>
      <c r="B1" s="36"/>
      <c r="C1" s="6" t="s">
        <v>7</v>
      </c>
      <c r="D1" s="6" t="s">
        <v>8</v>
      </c>
      <c r="E1" s="6" t="s">
        <v>9</v>
      </c>
      <c r="F1" s="6" t="s">
        <v>10</v>
      </c>
      <c r="G1" s="6" t="s">
        <v>11</v>
      </c>
      <c r="H1" s="7" t="s">
        <v>12</v>
      </c>
    </row>
    <row r="2" spans="1:10" x14ac:dyDescent="0.15">
      <c r="A2" s="37" t="s">
        <v>20</v>
      </c>
      <c r="B2" s="38"/>
      <c r="C2" s="41">
        <f>COUNTA($D$9:$D$65505)</f>
        <v>1</v>
      </c>
      <c r="D2" s="21" t="str">
        <f>大中項目!B1</f>
        <v>UPSC</v>
      </c>
      <c r="E2" s="19" t="str">
        <f>大中項目!A5</f>
        <v>UPSC01</v>
      </c>
      <c r="F2" s="9" t="s">
        <v>25</v>
      </c>
      <c r="G2" s="9"/>
      <c r="H2" s="8"/>
    </row>
    <row r="3" spans="1:10" x14ac:dyDescent="0.15">
      <c r="A3" s="39"/>
      <c r="B3" s="40"/>
      <c r="C3" s="42"/>
      <c r="D3" s="21" t="str">
        <f>大中項目!B2</f>
        <v>CDN利用時の更新後の静的コンテンツの配信</v>
      </c>
      <c r="E3" s="19" t="str">
        <f>大中項目!B5</f>
        <v>更新後の静的コンテンツの配信</v>
      </c>
      <c r="F3" s="9">
        <v>42965</v>
      </c>
      <c r="G3" s="9"/>
      <c r="H3" s="9"/>
    </row>
    <row r="4" spans="1:10" x14ac:dyDescent="0.15">
      <c r="A4" s="10"/>
      <c r="B4" s="10"/>
      <c r="C4" s="10"/>
      <c r="D4" s="10"/>
      <c r="E4" s="10"/>
      <c r="F4" s="10"/>
      <c r="G4" s="10"/>
      <c r="H4" s="10"/>
      <c r="I4" s="10"/>
    </row>
    <row r="5" spans="1:10" x14ac:dyDescent="0.15">
      <c r="A5" s="43" t="s">
        <v>13</v>
      </c>
      <c r="B5" s="44"/>
      <c r="C5" s="44"/>
      <c r="D5" s="44"/>
      <c r="E5" s="44"/>
      <c r="F5" s="44"/>
      <c r="G5" s="44"/>
      <c r="H5" s="44"/>
      <c r="I5" s="45"/>
    </row>
    <row r="6" spans="1:10" ht="42" customHeight="1" x14ac:dyDescent="0.15">
      <c r="A6" s="46" t="s">
        <v>14</v>
      </c>
      <c r="B6" s="47"/>
      <c r="C6" s="47"/>
      <c r="D6" s="47"/>
      <c r="E6" s="47"/>
      <c r="F6" s="47"/>
      <c r="G6" s="47"/>
      <c r="H6" s="47"/>
      <c r="I6" s="48"/>
    </row>
    <row r="7" spans="1:10" x14ac:dyDescent="0.15">
      <c r="A7" s="11"/>
      <c r="B7" s="11"/>
      <c r="C7" s="11"/>
      <c r="D7" s="11"/>
      <c r="E7" s="11"/>
      <c r="F7" s="11"/>
      <c r="G7" s="11"/>
      <c r="H7" s="11"/>
      <c r="I7" s="11"/>
    </row>
    <row r="8" spans="1:10" ht="27" x14ac:dyDescent="0.15">
      <c r="A8" s="6" t="s">
        <v>4</v>
      </c>
      <c r="B8" s="7" t="s">
        <v>21</v>
      </c>
      <c r="C8" s="6" t="s">
        <v>15</v>
      </c>
      <c r="D8" s="6" t="s">
        <v>16</v>
      </c>
      <c r="E8" s="6" t="s">
        <v>17</v>
      </c>
      <c r="F8" s="7" t="s">
        <v>22</v>
      </c>
      <c r="G8" s="7" t="s">
        <v>23</v>
      </c>
      <c r="H8" s="6" t="s">
        <v>18</v>
      </c>
      <c r="I8" s="6" t="s">
        <v>19</v>
      </c>
    </row>
    <row r="9" spans="1:10" ht="162" x14ac:dyDescent="0.15">
      <c r="A9" s="12" t="str">
        <f>大中項目!A5</f>
        <v>UPSC01</v>
      </c>
      <c r="B9" s="20">
        <f t="shared" ref="B9:B19" ca="1" si="0">IF(A9&lt;&gt;"",1,INDIRECT(ADDRESS(ROW(B9)-1,COLUMN(B9),4))+1)</f>
        <v>1</v>
      </c>
      <c r="C9" s="13" t="s">
        <v>26</v>
      </c>
      <c r="D9" s="5" t="s">
        <v>29</v>
      </c>
      <c r="E9" s="14" t="s">
        <v>30</v>
      </c>
      <c r="F9" s="14" t="s">
        <v>34</v>
      </c>
      <c r="G9" s="34" t="s">
        <v>62</v>
      </c>
      <c r="H9" s="14" t="s">
        <v>61</v>
      </c>
      <c r="I9" s="15" t="s">
        <v>27</v>
      </c>
      <c r="J9" s="32"/>
    </row>
    <row r="10" spans="1:10" x14ac:dyDescent="0.15">
      <c r="A10" s="16"/>
      <c r="B10" s="20">
        <f t="shared" ca="1" si="0"/>
        <v>2</v>
      </c>
      <c r="C10" s="13"/>
      <c r="D10" s="17"/>
      <c r="E10" s="17"/>
      <c r="F10" s="17"/>
      <c r="G10" s="17"/>
      <c r="H10" s="17"/>
      <c r="I10" s="15"/>
      <c r="J10" s="32"/>
    </row>
    <row r="11" spans="1:10" x14ac:dyDescent="0.15">
      <c r="A11" s="16"/>
      <c r="B11" s="20">
        <f t="shared" ca="1" si="0"/>
        <v>3</v>
      </c>
      <c r="C11" s="13"/>
      <c r="D11" s="17"/>
      <c r="E11" s="17"/>
      <c r="F11" s="17"/>
      <c r="G11" s="17"/>
      <c r="H11" s="17"/>
      <c r="I11" s="15"/>
      <c r="J11" s="32"/>
    </row>
    <row r="12" spans="1:10" x14ac:dyDescent="0.15">
      <c r="A12" s="16"/>
      <c r="B12" s="20">
        <f t="shared" ca="1" si="0"/>
        <v>4</v>
      </c>
      <c r="C12" s="13"/>
      <c r="D12" s="17"/>
      <c r="E12" s="17"/>
      <c r="F12" s="17"/>
      <c r="G12" s="17"/>
      <c r="H12" s="17"/>
      <c r="I12" s="15"/>
      <c r="J12" s="32"/>
    </row>
    <row r="13" spans="1:10" x14ac:dyDescent="0.15">
      <c r="A13" s="16"/>
      <c r="B13" s="20">
        <f t="shared" ca="1" si="0"/>
        <v>5</v>
      </c>
      <c r="C13" s="13"/>
      <c r="D13" s="17"/>
      <c r="E13" s="17"/>
      <c r="F13" s="17"/>
      <c r="G13" s="17"/>
      <c r="H13" s="17"/>
      <c r="I13" s="15"/>
      <c r="J13" s="32"/>
    </row>
    <row r="14" spans="1:10" x14ac:dyDescent="0.15">
      <c r="A14" s="16"/>
      <c r="B14" s="20">
        <f t="shared" ca="1" si="0"/>
        <v>6</v>
      </c>
      <c r="C14" s="13"/>
      <c r="D14" s="17"/>
      <c r="E14" s="17"/>
      <c r="F14" s="17"/>
      <c r="G14" s="17"/>
      <c r="H14" s="17"/>
      <c r="I14" s="15"/>
      <c r="J14" s="32"/>
    </row>
    <row r="15" spans="1:10" x14ac:dyDescent="0.15">
      <c r="A15" s="16"/>
      <c r="B15" s="20">
        <f t="shared" ca="1" si="0"/>
        <v>7</v>
      </c>
      <c r="C15" s="13"/>
      <c r="D15" s="17"/>
      <c r="E15" s="17"/>
      <c r="F15" s="17"/>
      <c r="G15" s="17"/>
      <c r="H15" s="17"/>
      <c r="I15" s="15"/>
      <c r="J15" s="32"/>
    </row>
    <row r="16" spans="1:10" x14ac:dyDescent="0.15">
      <c r="A16" s="16"/>
      <c r="B16" s="20">
        <f t="shared" ca="1" si="0"/>
        <v>8</v>
      </c>
      <c r="C16" s="13"/>
      <c r="D16" s="17"/>
      <c r="E16" s="17"/>
      <c r="F16" s="17"/>
      <c r="G16" s="17"/>
      <c r="H16" s="17"/>
      <c r="I16" s="15"/>
      <c r="J16" s="32"/>
    </row>
    <row r="17" spans="1:10" x14ac:dyDescent="0.15">
      <c r="A17" s="16"/>
      <c r="B17" s="20">
        <f t="shared" ca="1" si="0"/>
        <v>9</v>
      </c>
      <c r="C17" s="13"/>
      <c r="D17" s="17"/>
      <c r="E17" s="17"/>
      <c r="F17" s="17"/>
      <c r="G17" s="17"/>
      <c r="H17" s="17"/>
      <c r="I17" s="15"/>
      <c r="J17" s="32"/>
    </row>
    <row r="18" spans="1:10" x14ac:dyDescent="0.15">
      <c r="A18" s="16"/>
      <c r="B18" s="20">
        <f t="shared" ca="1" si="0"/>
        <v>10</v>
      </c>
      <c r="C18" s="13"/>
      <c r="D18" s="17"/>
      <c r="E18" s="17"/>
      <c r="F18" s="17"/>
      <c r="G18" s="17"/>
      <c r="H18" s="17"/>
      <c r="I18" s="15"/>
      <c r="J18" s="32"/>
    </row>
    <row r="19" spans="1:10" x14ac:dyDescent="0.15">
      <c r="A19" s="18"/>
      <c r="B19" s="22">
        <f t="shared" ca="1" si="0"/>
        <v>11</v>
      </c>
      <c r="C19" s="13"/>
      <c r="D19" s="17"/>
      <c r="E19" s="17"/>
      <c r="F19" s="17"/>
      <c r="G19" s="17"/>
      <c r="H19" s="17"/>
      <c r="I19" s="15"/>
      <c r="J19" s="32"/>
    </row>
  </sheetData>
  <mergeCells count="5">
    <mergeCell ref="A1:B1"/>
    <mergeCell ref="A2:B3"/>
    <mergeCell ref="C2:C3"/>
    <mergeCell ref="A5:I5"/>
    <mergeCell ref="A6:I6"/>
  </mergeCells>
  <phoneticPr fontId="2"/>
  <conditionalFormatting sqref="B9 A10:B19">
    <cfRule type="expression" dxfId="34" priority="106">
      <formula>A9&lt;&gt;""</formula>
    </cfRule>
  </conditionalFormatting>
  <conditionalFormatting sqref="B9:B19">
    <cfRule type="expression" dxfId="33" priority="34">
      <formula>B9&lt;&gt;""</formula>
    </cfRule>
  </conditionalFormatting>
  <conditionalFormatting sqref="B9">
    <cfRule type="expression" dxfId="32" priority="33">
      <formula>B9&lt;&gt;""</formula>
    </cfRule>
  </conditionalFormatting>
  <conditionalFormatting sqref="B9">
    <cfRule type="expression" dxfId="31" priority="32">
      <formula>B9&lt;&gt;""</formula>
    </cfRule>
  </conditionalFormatting>
  <conditionalFormatting sqref="B9">
    <cfRule type="expression" dxfId="30" priority="31">
      <formula>B9&lt;&gt;""</formula>
    </cfRule>
  </conditionalFormatting>
  <conditionalFormatting sqref="B10">
    <cfRule type="expression" dxfId="29" priority="30">
      <formula>B10&lt;&gt;""</formula>
    </cfRule>
  </conditionalFormatting>
  <conditionalFormatting sqref="B10">
    <cfRule type="expression" dxfId="28" priority="29">
      <formula>B10&lt;&gt;""</formula>
    </cfRule>
  </conditionalFormatting>
  <conditionalFormatting sqref="B10">
    <cfRule type="expression" dxfId="27" priority="28">
      <formula>B10&lt;&gt;""</formula>
    </cfRule>
  </conditionalFormatting>
  <conditionalFormatting sqref="B11">
    <cfRule type="expression" dxfId="26" priority="27">
      <formula>B11&lt;&gt;""</formula>
    </cfRule>
  </conditionalFormatting>
  <conditionalFormatting sqref="B11">
    <cfRule type="expression" dxfId="25" priority="26">
      <formula>B11&lt;&gt;""</formula>
    </cfRule>
  </conditionalFormatting>
  <conditionalFormatting sqref="B11">
    <cfRule type="expression" dxfId="24" priority="25">
      <formula>B11&lt;&gt;""</formula>
    </cfRule>
  </conditionalFormatting>
  <conditionalFormatting sqref="B12">
    <cfRule type="expression" dxfId="23" priority="24">
      <formula>B12&lt;&gt;""</formula>
    </cfRule>
  </conditionalFormatting>
  <conditionalFormatting sqref="B12">
    <cfRule type="expression" dxfId="22" priority="23">
      <formula>B12&lt;&gt;""</formula>
    </cfRule>
  </conditionalFormatting>
  <conditionalFormatting sqref="B12">
    <cfRule type="expression" dxfId="21" priority="22">
      <formula>B12&lt;&gt;""</formula>
    </cfRule>
  </conditionalFormatting>
  <conditionalFormatting sqref="B13">
    <cfRule type="expression" dxfId="20" priority="21">
      <formula>B13&lt;&gt;""</formula>
    </cfRule>
  </conditionalFormatting>
  <conditionalFormatting sqref="B13">
    <cfRule type="expression" dxfId="19" priority="20">
      <formula>B13&lt;&gt;""</formula>
    </cfRule>
  </conditionalFormatting>
  <conditionalFormatting sqref="B13">
    <cfRule type="expression" dxfId="18" priority="19">
      <formula>B13&lt;&gt;""</formula>
    </cfRule>
  </conditionalFormatting>
  <conditionalFormatting sqref="B14">
    <cfRule type="expression" dxfId="17" priority="18">
      <formula>B14&lt;&gt;""</formula>
    </cfRule>
  </conditionalFormatting>
  <conditionalFormatting sqref="B14">
    <cfRule type="expression" dxfId="16" priority="17">
      <formula>B14&lt;&gt;""</formula>
    </cfRule>
  </conditionalFormatting>
  <conditionalFormatting sqref="B14">
    <cfRule type="expression" dxfId="15" priority="16">
      <formula>B14&lt;&gt;""</formula>
    </cfRule>
  </conditionalFormatting>
  <conditionalFormatting sqref="B15">
    <cfRule type="expression" dxfId="14" priority="15">
      <formula>B15&lt;&gt;""</formula>
    </cfRule>
  </conditionalFormatting>
  <conditionalFormatting sqref="B15">
    <cfRule type="expression" dxfId="13" priority="14">
      <formula>B15&lt;&gt;""</formula>
    </cfRule>
  </conditionalFormatting>
  <conditionalFormatting sqref="B15">
    <cfRule type="expression" dxfId="12" priority="13">
      <formula>B15&lt;&gt;""</formula>
    </cfRule>
  </conditionalFormatting>
  <conditionalFormatting sqref="B16">
    <cfRule type="expression" dxfId="11" priority="12">
      <formula>B16&lt;&gt;""</formula>
    </cfRule>
  </conditionalFormatting>
  <conditionalFormatting sqref="B16">
    <cfRule type="expression" dxfId="10" priority="11">
      <formula>B16&lt;&gt;""</formula>
    </cfRule>
  </conditionalFormatting>
  <conditionalFormatting sqref="B16">
    <cfRule type="expression" dxfId="9" priority="10">
      <formula>B16&lt;&gt;""</formula>
    </cfRule>
  </conditionalFormatting>
  <conditionalFormatting sqref="B17">
    <cfRule type="expression" dxfId="8" priority="9">
      <formula>B17&lt;&gt;""</formula>
    </cfRule>
  </conditionalFormatting>
  <conditionalFormatting sqref="B17">
    <cfRule type="expression" dxfId="7" priority="8">
      <formula>B17&lt;&gt;""</formula>
    </cfRule>
  </conditionalFormatting>
  <conditionalFormatting sqref="B17">
    <cfRule type="expression" dxfId="6" priority="7">
      <formula>B17&lt;&gt;""</formula>
    </cfRule>
  </conditionalFormatting>
  <conditionalFormatting sqref="B18">
    <cfRule type="expression" dxfId="5" priority="6">
      <formula>B18&lt;&gt;""</formula>
    </cfRule>
  </conditionalFormatting>
  <conditionalFormatting sqref="B18">
    <cfRule type="expression" dxfId="4" priority="5">
      <formula>B18&lt;&gt;""</formula>
    </cfRule>
  </conditionalFormatting>
  <conditionalFormatting sqref="B18">
    <cfRule type="expression" dxfId="3" priority="4">
      <formula>B18&lt;&gt;""</formula>
    </cfRule>
  </conditionalFormatting>
  <conditionalFormatting sqref="B19">
    <cfRule type="expression" dxfId="2" priority="3">
      <formula>B19&lt;&gt;""</formula>
    </cfRule>
  </conditionalFormatting>
  <conditionalFormatting sqref="B19">
    <cfRule type="expression" dxfId="1" priority="2">
      <formula>B19&lt;&gt;""</formula>
    </cfRule>
  </conditionalFormatting>
  <conditionalFormatting sqref="B19">
    <cfRule type="expression" dxfId="0" priority="1">
      <formula>B19&lt;&gt;""</formula>
    </cfRule>
  </conditionalFormatting>
  <dataValidations count="2">
    <dataValidation type="list" allowBlank="1" showInputMessage="1" showErrorMessage="1" sqref="I9:I19">
      <formula1>"Selenium:○,Seleniumu:△,Selenium:×,JUnit:○,JUnit:△,Junit:×,手動実行,机上"</formula1>
    </dataValidation>
    <dataValidation type="list" allowBlank="1" showInputMessage="1" showErrorMessage="1" sqref="C9:C19">
      <formula1>"正常,クライアントエラー,サーバーエラー"</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42"/>
  <sheetViews>
    <sheetView zoomScale="85" zoomScaleNormal="85" workbookViewId="0"/>
  </sheetViews>
  <sheetFormatPr defaultRowHeight="13.5" x14ac:dyDescent="0.15"/>
  <sheetData>
    <row r="2" spans="1:1" x14ac:dyDescent="0.15">
      <c r="A2" t="s">
        <v>35</v>
      </c>
    </row>
    <row r="4" spans="1:1" x14ac:dyDescent="0.15">
      <c r="A4" t="s">
        <v>36</v>
      </c>
    </row>
    <row r="5" spans="1:1" x14ac:dyDescent="0.15">
      <c r="A5" t="s">
        <v>37</v>
      </c>
    </row>
    <row r="6" spans="1:1" x14ac:dyDescent="0.15">
      <c r="A6" t="s">
        <v>38</v>
      </c>
    </row>
    <row r="7" spans="1:1" x14ac:dyDescent="0.15">
      <c r="A7" t="s">
        <v>39</v>
      </c>
    </row>
    <row r="8" spans="1:1" x14ac:dyDescent="0.15">
      <c r="A8" t="s">
        <v>40</v>
      </c>
    </row>
    <row r="9" spans="1:1" x14ac:dyDescent="0.15">
      <c r="A9" t="s">
        <v>41</v>
      </c>
    </row>
    <row r="10" spans="1:1" x14ac:dyDescent="0.15">
      <c r="A10" t="s">
        <v>42</v>
      </c>
    </row>
    <row r="11" spans="1:1" x14ac:dyDescent="0.15">
      <c r="A11" t="s">
        <v>43</v>
      </c>
    </row>
    <row r="12" spans="1:1" x14ac:dyDescent="0.15">
      <c r="A12" t="s">
        <v>36</v>
      </c>
    </row>
    <row r="14" spans="1:1" x14ac:dyDescent="0.15">
      <c r="A14" t="s">
        <v>44</v>
      </c>
    </row>
    <row r="16" spans="1:1" x14ac:dyDescent="0.15">
      <c r="A16" t="s">
        <v>45</v>
      </c>
    </row>
    <row r="18" spans="1:1" x14ac:dyDescent="0.15">
      <c r="A18" t="s">
        <v>46</v>
      </c>
    </row>
    <row r="19" spans="1:1" x14ac:dyDescent="0.15">
      <c r="A19" t="s">
        <v>47</v>
      </c>
    </row>
    <row r="21" spans="1:1" x14ac:dyDescent="0.15">
      <c r="A21" t="s">
        <v>48</v>
      </c>
    </row>
    <row r="23" spans="1:1" x14ac:dyDescent="0.15">
      <c r="A23" t="s">
        <v>49</v>
      </c>
    </row>
    <row r="25" spans="1:1" x14ac:dyDescent="0.15">
      <c r="A25" t="s">
        <v>50</v>
      </c>
    </row>
    <row r="26" spans="1:1" x14ac:dyDescent="0.15">
      <c r="A26" t="s">
        <v>51</v>
      </c>
    </row>
    <row r="27" spans="1:1" x14ac:dyDescent="0.15">
      <c r="A27" t="s">
        <v>36</v>
      </c>
    </row>
    <row r="29" spans="1:1" x14ac:dyDescent="0.15">
      <c r="A29" t="s">
        <v>52</v>
      </c>
    </row>
    <row r="31" spans="1:1" x14ac:dyDescent="0.15">
      <c r="A31" t="s">
        <v>53</v>
      </c>
    </row>
    <row r="33" spans="1:1" x14ac:dyDescent="0.15">
      <c r="A33" t="s">
        <v>54</v>
      </c>
    </row>
    <row r="34" spans="1:1" x14ac:dyDescent="0.15">
      <c r="A34" t="s">
        <v>55</v>
      </c>
    </row>
    <row r="35" spans="1:1" x14ac:dyDescent="0.15">
      <c r="A35" t="s">
        <v>56</v>
      </c>
    </row>
    <row r="36" spans="1:1" x14ac:dyDescent="0.15">
      <c r="A36" t="s">
        <v>57</v>
      </c>
    </row>
    <row r="38" spans="1:1" x14ac:dyDescent="0.15">
      <c r="A38" t="s">
        <v>58</v>
      </c>
    </row>
    <row r="40" spans="1:1" x14ac:dyDescent="0.15">
      <c r="A40" t="s">
        <v>59</v>
      </c>
    </row>
    <row r="42" spans="1:1" x14ac:dyDescent="0.15">
      <c r="A42" t="s">
        <v>60</v>
      </c>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vt:i4>
      </vt:variant>
    </vt:vector>
  </HeadingPairs>
  <TitlesOfParts>
    <vt:vector size="5" baseType="lpstr">
      <vt:lpstr>大中項目</vt:lpstr>
      <vt:lpstr>UPSC01</vt:lpstr>
      <vt:lpstr>試験実施手順</vt:lpstr>
      <vt:lpstr>UPSC01!Print_Titles</vt:lpstr>
      <vt:lpstr>大中項目!Print_Titles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2018-12-18T02:10:45Z</dcterms:created>
  <dcterms:modified xsi:type="dcterms:W3CDTF">2018-12-18T02:10:51Z</dcterms:modified>
</cp:coreProperties>
</file>