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gitbucket\macchinetta-cloud-functionaltest\docs\02_機能毎のテスト\"/>
    </mc:Choice>
  </mc:AlternateContent>
  <bookViews>
    <workbookView xWindow="0" yWindow="0" windowWidth="27588" windowHeight="9660"/>
  </bookViews>
  <sheets>
    <sheet name="大中項目" sheetId="1" r:id="rId1"/>
    <sheet name="SSMN01" sheetId="6" r:id="rId2"/>
    <sheet name="SSMN02" sheetId="10" r:id="rId3"/>
  </sheets>
  <definedNames>
    <definedName name="_xlnm.Print_Titles" localSheetId="1">SSMN01!$1:$8</definedName>
    <definedName name="_xlnm.Print_Titles" localSheetId="2">SSMN02!$1:$8</definedName>
    <definedName name="_xlnm.Print_Titles" localSheetId="0">大中項目!$1:$4</definedName>
  </definedNames>
  <calcPr calcId="152511"/>
</workbook>
</file>

<file path=xl/calcChain.xml><?xml version="1.0" encoding="utf-8"?>
<calcChain xmlns="http://schemas.openxmlformats.org/spreadsheetml/2006/main">
  <c r="A11" i="10" l="1"/>
  <c r="A10" i="10"/>
  <c r="C12" i="1"/>
  <c r="A12" i="1"/>
  <c r="D3" i="10" l="1"/>
  <c r="D2" i="10"/>
  <c r="C2" i="10"/>
  <c r="A10" i="1"/>
  <c r="E2" i="10" s="1"/>
  <c r="A9" i="1" l="1"/>
  <c r="A8" i="1"/>
  <c r="A7" i="1"/>
  <c r="A6" i="1"/>
  <c r="A5" i="1"/>
  <c r="C5" i="1" s="1"/>
  <c r="A9" i="6" s="1"/>
  <c r="B9" i="6" s="1"/>
  <c r="B10" i="6"/>
  <c r="C6" i="1" l="1"/>
  <c r="B11" i="6"/>
  <c r="C7" i="1" l="1"/>
  <c r="A13" i="6"/>
  <c r="B13" i="6" s="1"/>
  <c r="E2" i="6"/>
  <c r="B14" i="6"/>
  <c r="B12" i="6"/>
  <c r="C8" i="1" l="1"/>
  <c r="A29" i="6"/>
  <c r="B29" i="6" s="1"/>
  <c r="D3" i="6"/>
  <c r="D2" i="6"/>
  <c r="A11" i="1"/>
  <c r="B30" i="6"/>
  <c r="B15" i="6"/>
  <c r="C9" i="1" l="1"/>
  <c r="A36" i="6" s="1"/>
  <c r="B36" i="6" s="1"/>
  <c r="A35" i="6"/>
  <c r="B35" i="6" s="1"/>
  <c r="C2" i="6"/>
  <c r="B31" i="6"/>
  <c r="B16" i="6"/>
  <c r="C10" i="1" l="1"/>
  <c r="A9" i="10" s="1"/>
  <c r="B9" i="10" s="1"/>
  <c r="B10" i="10"/>
  <c r="B11" i="10" s="1"/>
  <c r="B32" i="6"/>
  <c r="C11" i="1" l="1"/>
  <c r="B17" i="6"/>
  <c r="B33" i="6"/>
  <c r="B34" i="6"/>
  <c r="B18" i="6"/>
  <c r="B19" i="6"/>
  <c r="B20" i="6"/>
  <c r="B21" i="6"/>
  <c r="B22" i="6"/>
  <c r="B23" i="6" s="1"/>
  <c r="B24" i="6" s="1"/>
  <c r="B25" i="6" s="1"/>
  <c r="B26" i="6"/>
  <c r="B27" i="6"/>
  <c r="B28" i="6"/>
</calcChain>
</file>

<file path=xl/sharedStrings.xml><?xml version="1.0" encoding="utf-8"?>
<sst xmlns="http://schemas.openxmlformats.org/spreadsheetml/2006/main" count="213" uniqueCount="126">
  <si>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</si>
  <si>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</si>
  <si>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</si>
  <si>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</si>
  <si>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</si>
  <si>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</si>
  <si>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</si>
  <si>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</si>
  <si>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</si>
  <si>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</si>
  <si>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</si>
  <si>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</si>
  <si>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</si>
  <si>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</si>
  <si>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</si>
  <si>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</si>
  <si>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</si>
  <si>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</si>
  <si>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</si>
  <si>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</si>
  <si>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</si>
  <si>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</si>
  <si>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</si>
  <si>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</si>
  <si>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総件数</t>
    <rPh sb="0" eb="3">
      <t>ソウケンスウ</t>
    </rPh>
    <phoneticPr fontId="2"/>
  </si>
  <si>
    <t>セッション外部管理</t>
    <rPh sb="5" eb="9">
      <t>ガイブカンリ</t>
    </rPh>
    <phoneticPr fontId="2"/>
  </si>
  <si>
    <t>小松原 健</t>
    <rPh sb="0" eb="3">
      <t>コマツバラ</t>
    </rPh>
    <rPh sb="4" eb="5">
      <t>ケン</t>
    </rPh>
    <phoneticPr fontId="2"/>
  </si>
  <si>
    <t>正常</t>
  </si>
  <si>
    <t>Selenium:○</t>
  </si>
  <si>
    <t>サーバーエラー</t>
  </si>
  <si>
    <t>TransactionTokenの拡張方法</t>
    <rPh sb="17" eb="19">
      <t>カクチョウ</t>
    </rPh>
    <rPh sb="19" eb="21">
      <t>ホウホウ</t>
    </rPh>
    <phoneticPr fontId="2"/>
  </si>
  <si>
    <t>セッションタイムアウト時のトークン削除</t>
    <rPh sb="11" eb="12">
      <t>ジ</t>
    </rPh>
    <rPh sb="17" eb="19">
      <t>サクジョ</t>
    </rPh>
    <phoneticPr fontId="2"/>
  </si>
  <si>
    <t>@TransactionTokenCheckのvalue(Namespace)指定</t>
    <phoneticPr fontId="2"/>
  </si>
  <si>
    <t>@TransactionTokenCheckのFlow control (TransactionTokenTypeを使ってTransactionTokenのライフサイクルを確認する)</t>
    <phoneticPr fontId="2"/>
  </si>
  <si>
    <t>TransactionTokenStoreのサイズチェック (同時処理数の一定数と同等、または超える時の動き)</t>
    <phoneticPr fontId="2"/>
  </si>
  <si>
    <t>JSP Tag (t:transaction)</t>
    <phoneticPr fontId="2"/>
  </si>
  <si>
    <t>クラスに対して、指定したvalueの値で、Namespaceが有効になっていること</t>
    <phoneticPr fontId="2"/>
  </si>
  <si>
    <t xml:space="preserve">クラスのみに対して、@TransactionTokenCheck("transactiontoken")を指定している
</t>
    <phoneticPr fontId="2"/>
  </si>
  <si>
    <t>生成したトークンは「transactiontoken~xxx~xxx」の形であること</t>
    <phoneticPr fontId="2"/>
  </si>
  <si>
    <t>クラスとメソッドに対して、指定したvalueの値で、Namespaceが有効になっていること</t>
    <phoneticPr fontId="2"/>
  </si>
  <si>
    <t xml:space="preserve">クラスに対して、@TransactionTokenCheck("transactiontoken")とメソッドに、@TransactionTokenCheck("create")は指定している
</t>
    <phoneticPr fontId="2"/>
  </si>
  <si>
    <t>生成したトークンは「transactiontoken/create~xxx~xxx」 の形であること</t>
    <phoneticPr fontId="2"/>
  </si>
  <si>
    <t>メソッドに対して、指定したvalueの値で、Namespaceが有効になっていること</t>
    <phoneticPr fontId="2"/>
  </si>
  <si>
    <t xml:space="preserve">メソッドのみに、@TransactionTokenCheck("create")は指定している
</t>
    <phoneticPr fontId="2"/>
  </si>
  <si>
    <t>生成したトークンは「create~xxx~xxx」 の形であること</t>
    <phoneticPr fontId="2"/>
  </si>
  <si>
    <t xml:space="preserve">クラスとメソッド両方に対して、valueの値は指定していないので、globalTokenでNamespaceが有効になっていること
</t>
    <phoneticPr fontId="2"/>
  </si>
  <si>
    <t>生成したトークンは「globalToken~xxx~xxx」 の形であること</t>
    <phoneticPr fontId="2"/>
  </si>
  <si>
    <t>BEGIN-IN-CHECK-END (Namespace指定している - value属性)</t>
    <phoneticPr fontId="2"/>
  </si>
  <si>
    <t xml:space="preserve">RequestMapping用に六つのメソッドにTransactionTokenType　BEGIN,IN,CHECK,ENDそれぞれを付けている
</t>
    <phoneticPr fontId="2"/>
  </si>
  <si>
    <t xml:space="preserve">BEGINのついているメソッドに対するリクエストのレスポンスにhidden項目「_TRANSACTION_TOKEN」が入っていること（作成されている）
INのついているメソッドに対するリクエストのレスポンスにhidden項目「_TRANSACTION_TOKEN」が入っていること（更新されている）
CHECKのついているメソッドに対するリクエストのレスポンスにhidden項目「_TRANSACTION_TOKEN」が入っていること（更新されていない）
ENDのついているメソッドに対するリクエストのレスポンスにhidden項目「_TRANSACTION_TOKEN」が入っていないこと（破棄されている）
BEGINのついているメソッドで作られたtransaction tokenと、INのついているメソッドで作られたtransaction tokenの比較を行い、name、keyは一致し、valueは一致していないこと(特定部分のみ更新されていること)
</t>
    <phoneticPr fontId="2"/>
  </si>
  <si>
    <t>BEGIN-IN-CHECK-END (Namespace指定している - namespace属性)</t>
    <phoneticPr fontId="2"/>
  </si>
  <si>
    <t>RequestMapping用に六つのメソッドにTransactionTokenType　BEGIN,IN,CHECK,ENDそれぞれが付けている</t>
    <phoneticPr fontId="2"/>
  </si>
  <si>
    <t>BEGIN-IN-CHECK-END (Namespace指定していない - globalToken)</t>
    <phoneticPr fontId="2"/>
  </si>
  <si>
    <t>BEGIN-END</t>
    <phoneticPr fontId="2"/>
  </si>
  <si>
    <t>RequestMapping用に二つのメソッドにTransactionTokenType　BEGIN,ENDそれぞれが付けている</t>
    <phoneticPr fontId="2"/>
  </si>
  <si>
    <t xml:space="preserve">BEGINメソッドに対するリクエストのレスポンスにhidden項目「_TRANSACTION_TOKEN」が入っていること（作成されている）
ENDメソッドに対するリクエストのレスポンスにhidden項目「_TRANSACTION_TOKEN」が入っていないこと（破棄されている）
</t>
    <phoneticPr fontId="2"/>
  </si>
  <si>
    <t>RequestMapping用に二つのメソッドにTransactionTokenType　BEGIN,INそれぞれが付けている</t>
    <phoneticPr fontId="2"/>
  </si>
  <si>
    <t>BEGIN-IN-IN(Redo)-IN-END</t>
    <phoneticPr fontId="2"/>
  </si>
  <si>
    <t>RequestMapping用に四つのメソッドにTransactionTokenType　BEGIN,IN,IN,ENDそれぞれが付けている。INが付けているメソッド一つはRedo(戻る)用のメソッドである。</t>
    <phoneticPr fontId="2"/>
  </si>
  <si>
    <t xml:space="preserve">BEGINメソッドに対するリクエストのレスポンスにhidden項目「_TRANSACTION_TOKEN」が入っていること（作成されている）
INメソッドに対するリクエストのレスポンスにhidden項目「_TRANSACTION_TOKEN」が入っていること（更新されている）
ENDメソッドに対するリクエストのレスポンスにhidden項目「_TRANSACTION_TOKEN」が入っていないこと（破棄されている）
BEGINメソッドで作られたtransaction tokenと、INメソッドで作られたtransaction tokenの比較を行い、name、keyは一致し、valueは一致していないこと(特定部分のみ更新されていること)
</t>
    <phoneticPr fontId="2"/>
  </si>
  <si>
    <t>BEGIN(Input Error)-BEGIN-IN</t>
    <phoneticPr fontId="2"/>
  </si>
  <si>
    <t xml:space="preserve">入力チェックエラーが発生してもBEGINメソッドに対するリクエストのレスポンスにhidden項目「_TRANSACTION_TOKEN」が入っていること（作成されている）
入力チェックエラーを解決してもう一度リクエストを出したらレスポンスにhidden項目「_TRANSACTION_TOKEN」が入っていること（作成されている）
INメソッドに対するリクエストのレスポンスにhidden項目「_TRANSACTION_TOKEN」が入っていること（更新されている）
BEGINメソッドで作られたtransaction tokenと、INメソッドで作られたtransaction tokenの比較を行い、nameは一致し、key、valueは一致していないこと(特定部分のみ更新されていること)
</t>
    <phoneticPr fontId="2"/>
  </si>
  <si>
    <t>BEGIN-END (Business Error)</t>
    <phoneticPr fontId="2"/>
  </si>
  <si>
    <t xml:space="preserve">BEGINメソッドに対するリクエストのレスポンスにhidden項目「_TRANSACTION_TOKEN」が入っていること（作成されている）
ENDメソッドに対するリクエストの処理でエラーが発生してもレスポンスにhidden項目「_TRANSACTION_TOKEN」が入っていないこと（破棄されている）
</t>
    <phoneticPr fontId="2"/>
  </si>
  <si>
    <t>IN called without BEGIN (Token error since token not present)</t>
    <phoneticPr fontId="2"/>
  </si>
  <si>
    <t>メソッドの@TransactionTokenCheckにTransactionTokenType INが付けている</t>
    <phoneticPr fontId="2"/>
  </si>
  <si>
    <t xml:space="preserve">INメソッドに対するリクエストの呼び出しでトークンが渡されていないのでtoken errorが発生されている
</t>
    <phoneticPr fontId="2"/>
  </si>
  <si>
    <t>BEGIN-IN-(Browser Back)-IN (Token error due to Token mismatch)</t>
    <phoneticPr fontId="2"/>
  </si>
  <si>
    <t xml:space="preserve">INメソッドに対するリクエストが完了したらBrowserのBackを押してまたサブミットするとtoken errorが発生されている
</t>
    <phoneticPr fontId="2"/>
  </si>
  <si>
    <t>BEGIN-IN (Token error due to Token mismatch)</t>
    <phoneticPr fontId="2"/>
  </si>
  <si>
    <t>INメソッドに対するリクエストの呼び出しで渡されたトークンが一致していないのでtoken errorが発生されている</t>
    <phoneticPr fontId="2"/>
  </si>
  <si>
    <t>END called without BEGIN (Token error since token not present)</t>
    <phoneticPr fontId="2"/>
  </si>
  <si>
    <t>メソッドの@TransactionTokenCheckにTransactionTokenType ENDが付けている</t>
    <phoneticPr fontId="2"/>
  </si>
  <si>
    <t>ENDメソッドに対するリクエストの呼び出しでトークンが渡されていないのでtoken errorが発生されている</t>
    <phoneticPr fontId="2"/>
  </si>
  <si>
    <t>BEGIN-END (Token error due to Token mismatch)</t>
    <phoneticPr fontId="2"/>
  </si>
  <si>
    <t>メソッドの@TransactionTokenCheckにTransactionTokenType BEGIN,ENDがそれぞれ付けている</t>
    <phoneticPr fontId="2"/>
  </si>
  <si>
    <t>ENDメソッドに対するリクエストの呼び出しで渡されたトークンが一致していないのでtoken errorが発生されている</t>
    <phoneticPr fontId="2"/>
  </si>
  <si>
    <t>BEGIN-IN</t>
    <phoneticPr fontId="2"/>
  </si>
  <si>
    <t xml:space="preserve">BEGINメソッドに対するリクエストのレスポンスにhidden項目「_TRANSACTION_TOKEN」が入っていること（作成されている）
INメソッドに対するリクエストのレスポンスにhidden項目「_TRANSACTION_TOKEN」が入っていること（更新されている）
BEGINメソッドで作られたtransaction tokenと、INメソッドで作られたtransaction tokenの比較を行い、name、keyは一致し、valueは一致していないこと(特定部分のみ更新されていること)
</t>
    <phoneticPr fontId="2"/>
  </si>
  <si>
    <t>BEGIN-CHECK(File Download)-IN</t>
    <phoneticPr fontId="2"/>
  </si>
  <si>
    <t>メソッドの@TransactionTokenCheckにTransactionTokenType BEGIN,CHECK,INがそれぞれ付けている</t>
    <phoneticPr fontId="2"/>
  </si>
  <si>
    <t xml:space="preserve">BEGINのついているメソッドのレスポンスにhidden項目「_TRANSACTION_TOKEN」が入っていること（作成されている）
INのついているメソッドの実行時にエラーが発生しないこと
INのついているメソッドのレスポンスにhidden項目「_TRANSACTION_TOKEN」が入っていること（更新されている）
</t>
    <phoneticPr fontId="2"/>
  </si>
  <si>
    <t>BEGIN-IN-(Browser Back)-CHECK</t>
    <phoneticPr fontId="2"/>
  </si>
  <si>
    <t>メソッドの@TransactionTokenCheckにTransactionTokenType BEGIN,IN,CHECKがそれぞれ付けている</t>
    <phoneticPr fontId="2"/>
  </si>
  <si>
    <t xml:space="preserve">BEGINのついているメソッドのレスポンスにhidden項目「_TRANSACTION_TOKEN」が入っていること（作成されている）
INのついているメソッドの実行時にエラーが発生しないこと
CHECKのついているメソッドに対するリクエストの呼び出しでトークンが一致していないのでtoken errorが発生する
</t>
    <phoneticPr fontId="2"/>
  </si>
  <si>
    <t>CHECK called without BEGIN (Token error since token not present)</t>
    <phoneticPr fontId="2"/>
  </si>
  <si>
    <t>メソッドの@TransactionTokenCheckにTransactionTokenType CHECKが付けている</t>
    <phoneticPr fontId="2"/>
  </si>
  <si>
    <t>CHECKのついているメソッドに対するリクエストの呼び出しでトークンが渡されていないのでtoken errorが発生する</t>
    <phoneticPr fontId="2"/>
  </si>
  <si>
    <t>同じセッションでNameSpaceごとに保持できるTransactionTokenの数が超えると自動で過去のトランザクショントークンを削除される (windowをMax+1起動)</t>
    <phoneticPr fontId="2"/>
  </si>
  <si>
    <t xml:space="preserve">クラスのみに対して、@TransactionTokenCheck("transactiontoken")を指定している
同じ業務処理を十個のタブで行っていて、Transactionトークンが生成されている状態
</t>
    <phoneticPr fontId="2"/>
  </si>
  <si>
    <t>同じ業務処理を十一回目のタブで行って、一回目のタブに移動してサブミットするとトークンエラーになっていること</t>
    <phoneticPr fontId="2"/>
  </si>
  <si>
    <t>同じセッションでNameSpaceごとに保持できるTransactionTokenの数が超えると自動で過去のトランザクショントークンを削除される (カスタム設定 = 2)</t>
    <phoneticPr fontId="2"/>
  </si>
  <si>
    <t xml:space="preserve">クラスとメソッドに対してnamespaceを指定している (例 : Namespace = transactiontoken/create)
同じセッションで違う業務処理を二つのタブで行っていて、Transactionトークンが生成されている状態
</t>
    <phoneticPr fontId="2"/>
  </si>
  <si>
    <t>同じセッションで違う業務処理を新規のタブで行って、一回目のタブに移動してサブミットするとトークンエラーになっていること</t>
    <phoneticPr fontId="2"/>
  </si>
  <si>
    <t xml:space="preserve">メソッドのみに対して、@TransactionTokenCheck("xxxxx")を指定している
同じセッションで違う業務処理を二つのタブで行っていて、Transactionトークンが生成されている状態
</t>
    <phoneticPr fontId="2"/>
  </si>
  <si>
    <t xml:space="preserve">同じセッションでNameSpaceごとに保持できるTransactionTokenの数が超えると自動で過去のトランザクショントークンを削除される
</t>
    <phoneticPr fontId="2"/>
  </si>
  <si>
    <t>Namespace指定していない (NameSpaceはグローバルNamespaceになる)。同時処理数の一定数を1にセットしている。
任意の業務処理を行って、Transactionトークンが生成されている状態</t>
    <phoneticPr fontId="2"/>
  </si>
  <si>
    <t>同じセッションで新規のタブで任意の業務処理を行って、一回目のタブに移動してサブミットするとトークンエラーになっていること</t>
    <phoneticPr fontId="2"/>
  </si>
  <si>
    <t>同じセッションでNameSpaceごとに保持できるTransactionTokenの数と同じ場合、自動で過去のトランザクショントークンを削除されないこと (デフォルト10個)</t>
    <phoneticPr fontId="2"/>
  </si>
  <si>
    <t>一回目のタブに移動してサブミットしても正常にレスポンスが返却されること</t>
    <phoneticPr fontId="2"/>
  </si>
  <si>
    <t>同じセッションでNameSpaceごとに保持できるTransactionTokenの数が超えると自動で過去のトランザクショントークンを削除される(windowをMax起動し、上書きしたセッションでリクエスト送信)</t>
    <phoneticPr fontId="2"/>
  </si>
  <si>
    <t>クラスのみに対して、@TransactionTokenCheck("transactiontoken")を指定している
同じ業務処理を十個のタブで行っていて、Transactionトークンが生成されている状態
どこかのタブでtokenを上書きした(5個目のタブ)後、消されたtokenを所持しているタブから画面遷移を行う。</t>
    <phoneticPr fontId="2"/>
  </si>
  <si>
    <t>一回目のタブに移動してサブミットしても正常にレスポンスが返却されること
消されたtokenを所持しているタブから画面遷移を行った場合、トークンエラーになっていること。</t>
    <phoneticPr fontId="2"/>
  </si>
  <si>
    <t>&lt;form:form&gt;タグを使用しない場合は、&lt;t:transaction /&gt; を明示的に使用することにより、同じようにTransactionTokenCheckのhidden項目が埋め込まれる</t>
    <phoneticPr fontId="2"/>
  </si>
  <si>
    <t>対象JSPに&lt;form:form&gt;タグを使用しないで&lt;t:transaction /&gt;タグが定義されている</t>
    <phoneticPr fontId="2"/>
  </si>
  <si>
    <t>Transaction トークンが生成されて出力ビューとして上記のJSPが指定されているときレスポンスにhidden項目「_TRANSACTION_TOKEN」が入っていること
生成したトークンは「globalToken~xxx~xxx」の形であること</t>
    <phoneticPr fontId="2"/>
  </si>
  <si>
    <t>セッションタイムアウト時にDBに保持しているTransactionTokenが削除される</t>
    <rPh sb="11" eb="12">
      <t>ジ</t>
    </rPh>
    <rPh sb="16" eb="18">
      <t>ホジ</t>
    </rPh>
    <rPh sb="39" eb="41">
      <t>サクジョ</t>
    </rPh>
    <phoneticPr fontId="2"/>
  </si>
  <si>
    <t xml:space="preserve">BEGINのついているメソッドに対するリクエストのレスポンスにhidden項目「_TRANSACTION_TOKEN」が入っていること（作成されている）
APサーバのセッションタイムアウト設定時間経過後にINのついているメソッドに対するリクエストを行い、トークンエラーとなること
</t>
    <rPh sb="95" eb="97">
      <t>セッテイ</t>
    </rPh>
    <rPh sb="97" eb="99">
      <t>ジカン</t>
    </rPh>
    <rPh sb="99" eb="101">
      <t>ケイカ</t>
    </rPh>
    <rPh sb="101" eb="102">
      <t>ゴ</t>
    </rPh>
    <rPh sb="125" eb="126">
      <t>オコナ</t>
    </rPh>
    <phoneticPr fontId="2"/>
  </si>
  <si>
    <t>セッションの外部管理</t>
    <rPh sb="6" eb="10">
      <t>ガイブカンリ</t>
    </rPh>
    <phoneticPr fontId="2"/>
  </si>
  <si>
    <t>/error/invalidSession
に遷移すること</t>
    <rPh sb="23" eb="25">
      <t>センイ</t>
    </rPh>
    <phoneticPr fontId="2"/>
  </si>
  <si>
    <t>セッションタイムアウト後に認証が必要なページでGETを行い、Invalid Sessionエラーになること</t>
    <rPh sb="11" eb="12">
      <t>ゴ</t>
    </rPh>
    <rPh sb="13" eb="15">
      <t>ニンショウ</t>
    </rPh>
    <rPh sb="16" eb="18">
      <t>ヒツヨウ</t>
    </rPh>
    <rPh sb="27" eb="28">
      <t>オコナ</t>
    </rPh>
    <phoneticPr fontId="2"/>
  </si>
  <si>
    <t>クラスとメソッド両方に対して、@TransactionTokenCheckのvalue指定はない</t>
    <phoneticPr fontId="2"/>
  </si>
  <si>
    <t>・Redisにデータが存在しないこと
・SessionをRedisに保存するように設定していること</t>
    <rPh sb="11" eb="13">
      <t>ソンザイ</t>
    </rPh>
    <rPh sb="34" eb="36">
      <t>ホゾン</t>
    </rPh>
    <rPh sb="41" eb="43">
      <t>セッテイ</t>
    </rPh>
    <phoneticPr fontId="2"/>
  </si>
  <si>
    <t>・SessionをRedisに保存するように設定していること
・spring-security.xmlに
invalid-session-url="/error/invalidSession"
を設定する
・セッションタイムアウト後にGET</t>
    <rPh sb="98" eb="100">
      <t>セッテイ</t>
    </rPh>
    <rPh sb="115" eb="116">
      <t>ゴ</t>
    </rPh>
    <phoneticPr fontId="2"/>
  </si>
  <si>
    <t xml:space="preserve">BEGINのついているメソッドに対するリクエストのレスポンスにhidden項目「_TRANSACTION_TOKEN」が入っていること（作成されている）
INのついているメソッドに対するリクエストのレスポンスにhidden項目「_TRANSACTION_TOKEN」が入っていること（更新されている）
CHECKのついているメソッドに対するリクエストのレスポンスにhidden項目「_TRANSACTION_TOKEN」が入っていること（更新されていない）
ENDのついているメソッドに対するリクエストのレスポンスにhidden項目「_TRANSACTION_TOKEN」が入っていないこと（破棄されている）
BEGINのついているメソッドで作られたtransaction tokenと、INのついているメソッドで作られたtransaction tokenの比較を行い、name、keyは一致し、valueは一致していないこと(特定部分のみ更新されていること)
作成されたtransaction tokenのnameは"globalToken"であること
</t>
    <phoneticPr fontId="2"/>
  </si>
  <si>
    <t>メソッドの@TransactionTokenCheckにTransactionTokenType INが付けている INの着いているメソッドにリクエストしてからブラウザバックで戻り、もう一度同じリクエストをする。</t>
    <phoneticPr fontId="2"/>
  </si>
  <si>
    <t>メソッドの@TransactionTokenCheckにTransactionTokenType BEGIN,INがそれぞれ付けている</t>
    <phoneticPr fontId="2"/>
  </si>
  <si>
    <t>・ログアウト後にセッションが無効化されていること</t>
    <phoneticPr fontId="2"/>
  </si>
  <si>
    <t>ログイン後に認証が必要なページにアクセスしてから、ログアウトし、再度認証が必要なページにアクセスし、ログイン画面に遷移すること。</t>
    <phoneticPr fontId="2"/>
  </si>
  <si>
    <t xml:space="preserve">・SessionをRedisに保存するように設定していること
・有効なセッションがある状態
</t>
    <phoneticPr fontId="2"/>
  </si>
  <si>
    <t>SessionがRedisに保存され、Session情報の新規作成、更新ができること</t>
    <rPh sb="14" eb="16">
      <t>ホゾン</t>
    </rPh>
    <rPh sb="26" eb="28">
      <t>ジョウホウ</t>
    </rPh>
    <rPh sb="29" eb="33">
      <t>シンキサクセイ</t>
    </rPh>
    <rPh sb="34" eb="36">
      <t>コウシン</t>
    </rPh>
    <phoneticPr fontId="2"/>
  </si>
  <si>
    <t>・Redisに新規にSessionが保存されていること
・Redisに保存されているSessionと画面に表示したSession情報が一致していること。
・Session情報を更新すると、Redisに保存されているセッションも更新されていること。</t>
    <rPh sb="7" eb="9">
      <t>シンキ</t>
    </rPh>
    <rPh sb="18" eb="20">
      <t>ホゾン</t>
    </rPh>
    <rPh sb="35" eb="37">
      <t>ホゾン</t>
    </rPh>
    <rPh sb="50" eb="52">
      <t>ガメン</t>
    </rPh>
    <rPh sb="53" eb="55">
      <t>ヒョウジ</t>
    </rPh>
    <rPh sb="64" eb="66">
      <t>ジョウホウ</t>
    </rPh>
    <rPh sb="67" eb="69">
      <t>イッチ</t>
    </rPh>
    <rPh sb="85" eb="87">
      <t>ジョウホウ</t>
    </rPh>
    <rPh sb="88" eb="90">
      <t>コウシン</t>
    </rPh>
    <rPh sb="100" eb="102">
      <t>ホゾン</t>
    </rPh>
    <rPh sb="113" eb="115">
      <t>コウシン</t>
    </rPh>
    <phoneticPr fontId="2"/>
  </si>
  <si>
    <t>SSMN</t>
    <phoneticPr fontId="2"/>
  </si>
  <si>
    <t>ログアウト時のセッション操作</t>
    <rPh sb="5" eb="6">
      <t>ジ</t>
    </rPh>
    <rPh sb="12" eb="14">
      <t>ソウサ</t>
    </rPh>
    <phoneticPr fontId="2"/>
  </si>
  <si>
    <t>Redisによるセッション保存</t>
    <rPh sb="13" eb="15">
      <t>ホゾン</t>
    </rPh>
    <phoneticPr fontId="2"/>
  </si>
  <si>
    <t>タイムアウト時のセッション状態判定</t>
    <rPh sb="6" eb="7">
      <t>ジ</t>
    </rPh>
    <rPh sb="13" eb="15">
      <t>ジョウタイ</t>
    </rPh>
    <rPh sb="15" eb="17">
      <t>ハンテイ</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</si>
</sst>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lt;=999]000;[&lt;=9999]000\-00;000\-0000"/>
  </numFmts>
  <fonts count="9"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54">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pplyAlignment="1">
      <alignment vertical="center"/>
    </xf>
    <xf numFmtId="0" fontId="6" fillId="0" borderId="0" xfId="2">
      <alignment vertical="center"/>
    </xf>
    <xf numFmtId="0" fontId="6" fillId="0" borderId="1" xfId="2" applyNumberFormat="1" applyBorder="1" applyAlignment="1">
      <alignment horizontal="center" vertical="center"/>
    </xf>
    <xf numFmtId="0" fontId="6" fillId="4" borderId="1" xfId="2" applyNumberFormat="1" applyFill="1" applyBorder="1" applyAlignment="1">
      <alignment horizontal="center" vertical="center"/>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4" borderId="3" xfId="0" applyFill="1" applyBorder="1" applyAlignment="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xf>
    <xf numFmtId="0" fontId="0" fillId="2" borderId="1" xfId="0" applyFill="1" applyBorder="1" applyAlignment="1">
      <alignment horizontal="center" vertical="center"/>
    </xf>
    <xf numFmtId="0" fontId="0" fillId="0" borderId="12" xfId="0" applyBorder="1" applyAlignment="1">
      <alignment horizontal="left" vertical="top"/>
    </xf>
    <xf numFmtId="0" fontId="0" fillId="0" borderId="1" xfId="0" applyBorder="1" applyAlignment="1">
      <alignment horizontal="left" vertical="top" wrapText="1"/>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0" borderId="3" xfId="2" applyNumberFormat="1" applyFill="1" applyBorder="1" applyAlignment="1">
      <alignment horizontal="center" vertical="top" wrapText="1"/>
    </xf>
    <xf numFmtId="49" fontId="6" fillId="0" borderId="1" xfId="2" applyNumberFormat="1" applyFill="1" applyBorder="1" applyAlignment="1">
      <alignment horizontal="left" vertical="top" wrapText="1"/>
    </xf>
    <xf numFmtId="176" fontId="6" fillId="4" borderId="2" xfId="2" applyNumberFormat="1" applyFill="1" applyBorder="1" applyAlignment="1">
      <alignment horizontal="center" vertical="top" wrapText="1"/>
    </xf>
    <xf numFmtId="176" fontId="6" fillId="4" borderId="1" xfId="2" applyNumberFormat="1" applyFill="1" applyBorder="1" applyAlignment="1">
      <alignment horizontal="center"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4" borderId="0" xfId="0" applyFill="1" applyAlignment="1">
      <alignment horizontal="center" vertical="top"/>
    </xf>
    <xf numFmtId="0" fontId="0" fillId="4" borderId="3" xfId="0" applyFill="1" applyBorder="1" applyAlignment="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xf>
    <xf numFmtId="49" fontId="6" fillId="0" borderId="1" xfId="2" quotePrefix="1" applyNumberFormat="1" applyFill="1" applyBorder="1" applyAlignment="1">
      <alignment horizontal="left" vertical="top" wrapText="1"/>
    </xf>
    <xf numFmtId="0" fontId="0" fillId="0" borderId="1" xfId="0" quotePrefix="1" applyBorder="1" applyAlignment="1">
      <alignment horizontal="left" vertical="top" wrapText="1"/>
    </xf>
    <xf numFmtId="176" fontId="6" fillId="0" borderId="1" xfId="2" applyNumberFormat="1" applyBorder="1" applyAlignment="1">
      <alignment horizontal="center" vertical="top" wrapText="1"/>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cellStyles>
  <dxfs count="62">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2"/>
  <sheetViews>
    <sheetView tabSelected="1" zoomScale="80" zoomScaleNormal="80" workbookViewId="0">
      <pane ySplit="4" topLeftCell="A5" activePane="bottomLeft" state="frozen"/>
      <selection pane="bottomLeft" activeCell="A5" sqref="A5"/>
    </sheetView>
  </sheetViews>
  <sheetFormatPr defaultRowHeight="13.2" x14ac:dyDescent="0.2"/>
  <cols>
    <col min="1" max="1" width="14.88671875" customWidth="1"/>
    <col min="2" max="2" width="41.21875" customWidth="1"/>
    <col min="3" max="3" width="15.88671875" customWidth="1"/>
    <col min="4" max="4" width="75" customWidth="1"/>
  </cols>
  <sheetData>
    <row r="1" spans="1:4" x14ac:dyDescent="0.2">
      <c r="A1" s="1" t="s">
        <v>0</v>
      </c>
      <c r="B1" s="2" t="s">
        <v>122</v>
      </c>
      <c r="C1" s="19" t="s">
        <v>24</v>
      </c>
    </row>
    <row r="2" spans="1:4" x14ac:dyDescent="0.2">
      <c r="A2" s="3" t="s">
        <v>1</v>
      </c>
      <c r="B2" s="2" t="s">
        <v>25</v>
      </c>
      <c r="C2" s="2"/>
    </row>
    <row r="4" spans="1:4" x14ac:dyDescent="0.2">
      <c r="A4" s="4" t="s">
        <v>2</v>
      </c>
      <c r="B4" s="4" t="s">
        <v>3</v>
      </c>
      <c r="C4" s="4" t="s">
        <v>4</v>
      </c>
      <c r="D4" s="4" t="s">
        <v>5</v>
      </c>
    </row>
    <row r="5" spans="1:4" x14ac:dyDescent="0.2">
      <c r="A5" s="33" t="str">
        <f>IF(B5="","",($B$1&amp;TEXT(IF(B5="","",COUNTA($B$5:B5)),"00")))</f>
        <v>SSMN01</v>
      </c>
      <c r="B5" s="30" t="s">
        <v>30</v>
      </c>
      <c r="C5" s="36" t="str">
        <f>IF(B5="",($B$1&amp;TEXT(IF(B5="",COUNTA($B$5:B5),1),"00")),A5)&amp;IF(B5&lt;&gt;"",TEXT(1,"00"),TEXT(IF(A5&lt;&gt;"",1,RIGHT(C4,2)+1),"00"))</f>
        <v>SSMN0101</v>
      </c>
      <c r="D5" s="38" t="s">
        <v>32</v>
      </c>
    </row>
    <row r="6" spans="1:4" ht="26.4" x14ac:dyDescent="0.2">
      <c r="A6" s="34" t="str">
        <f>IF(B6="","",($B$1&amp;TEXT(IF(B6="","",COUNTA($B$5:B6)),"00")))</f>
        <v/>
      </c>
      <c r="B6" s="31"/>
      <c r="C6" s="36" t="str">
        <f>IF(B6="",($B$1&amp;TEXT(IF(B6="",COUNTA($B$5:B6),1),"00")),A6)&amp;IF(B6&lt;&gt;"",TEXT(1,"00"),TEXT(IF(A6&lt;&gt;"",1,RIGHT(C5,2)+1),"00"))</f>
        <v>SSMN0102</v>
      </c>
      <c r="D6" s="38" t="s">
        <v>33</v>
      </c>
    </row>
    <row r="7" spans="1:4" ht="26.4" x14ac:dyDescent="0.2">
      <c r="A7" s="34" t="str">
        <f>IF(B7="","",($B$1&amp;TEXT(IF(B7="","",COUNTA($B$5:B7)),"00")))</f>
        <v/>
      </c>
      <c r="B7" s="31"/>
      <c r="C7" s="36" t="str">
        <f>IF(B7="",($B$1&amp;TEXT(IF(B7="",COUNTA($B$5:B7),1),"00")),A7)&amp;IF(B7&lt;&gt;"",TEXT(1,"00"),TEXT(IF(A7&lt;&gt;"",1,RIGHT(C6,2)+1),"00"))</f>
        <v>SSMN0103</v>
      </c>
      <c r="D7" s="38" t="s">
        <v>34</v>
      </c>
    </row>
    <row r="8" spans="1:4" x14ac:dyDescent="0.2">
      <c r="A8" s="33" t="str">
        <f>IF(B8="","",($B$1&amp;TEXT(IF(B8="","",COUNTA($B$5:B8)),"00")))</f>
        <v/>
      </c>
      <c r="B8" s="31"/>
      <c r="C8" s="36" t="str">
        <f>IF(B8="",($B$1&amp;TEXT(IF(B8="",COUNTA($B$5:B8),1),"00")),A8)&amp;IF(B8&lt;&gt;"",TEXT(1,"00"),TEXT(IF(A8&lt;&gt;"",1,RIGHT(C7,2)+1),"00"))</f>
        <v>SSMN0104</v>
      </c>
      <c r="D8" s="38" t="s">
        <v>35</v>
      </c>
    </row>
    <row r="9" spans="1:4" x14ac:dyDescent="0.2">
      <c r="A9" s="35" t="str">
        <f>IF(B9="","",($B$1&amp;TEXT(IF(B9="","",COUNTA($B$5:B9)),"00")))</f>
        <v/>
      </c>
      <c r="B9" s="32"/>
      <c r="C9" s="36" t="str">
        <f>IF(B9="",($B$1&amp;TEXT(IF(B9="",COUNTA($B$5:B9),1),"00")),A9)&amp;IF(B9&lt;&gt;"",TEXT(1,"00"),TEXT(IF(A9&lt;&gt;"",1,RIGHT(C8,2)+1),"00"))</f>
        <v>SSMN0105</v>
      </c>
      <c r="D9" s="21" t="s">
        <v>31</v>
      </c>
    </row>
    <row r="10" spans="1:4" x14ac:dyDescent="0.2">
      <c r="A10" s="33" t="str">
        <f>IF(B10="","",($B$1&amp;TEXT(IF(B10="","",COUNTA($B$5:B10)),"00")))</f>
        <v>SSMN02</v>
      </c>
      <c r="B10" s="14" t="s">
        <v>108</v>
      </c>
      <c r="C10" s="18" t="str">
        <f>IF(B10="",($B$1&amp;TEXT(IF(B10="",COUNTA($B$5:B10),1),"00")),A10)&amp;IF(B10&lt;&gt;"",TEXT(1,"00"),TEXT(IF(A10&lt;&gt;"",1,RIGHT(C9,2)+1),"00"))</f>
        <v>SSMN0201</v>
      </c>
      <c r="D10" s="21" t="s">
        <v>124</v>
      </c>
    </row>
    <row r="11" spans="1:4" x14ac:dyDescent="0.2">
      <c r="A11" s="16" t="str">
        <f>IF(B11="","",($B$1&amp;TEXT(IF(B11="","",COUNTA($B$5:B11)),"00")))</f>
        <v/>
      </c>
      <c r="B11" s="14"/>
      <c r="C11" s="18" t="str">
        <f>IF(B11="",($B$1&amp;TEXT(IF(B11="",COUNTA($B$5:B11),1),"00")),A11)&amp;IF(B11&lt;&gt;"",TEXT(1,"00"),TEXT(IF(A11&lt;&gt;"",1,RIGHT(C10,2)+1),"00"))</f>
        <v>SSMN0202</v>
      </c>
      <c r="D11" s="5" t="s">
        <v>123</v>
      </c>
    </row>
    <row r="12" spans="1:4" x14ac:dyDescent="0.2">
      <c r="A12" s="17" t="str">
        <f>IF(B12="","",($B$1&amp;TEXT(IF(B12="","",COUNTA($B$5:B12)),"00")))</f>
        <v/>
      </c>
      <c r="B12" s="15"/>
      <c r="C12" s="36" t="str">
        <f>IF(B12="",($B$1&amp;TEXT(IF(B12="",COUNTA($B$5:B12),1),"00")),A12)&amp;IF(B12&lt;&gt;"",TEXT(1,"00"),TEXT(IF(A12&lt;&gt;"",1,RIGHT(C11,2)+1),"00"))</f>
        <v>SSMN0203</v>
      </c>
      <c r="D12" s="5" t="s">
        <v>125</v>
      </c>
    </row>
  </sheetData>
  <phoneticPr fontId="2"/>
  <conditionalFormatting sqref="B10">
    <cfRule type="expression" dxfId="61" priority="51">
      <formula>B10&lt;&gt;""</formula>
    </cfRule>
  </conditionalFormatting>
  <conditionalFormatting sqref="B11">
    <cfRule type="expression" dxfId="60" priority="50">
      <formula>B11&lt;&gt;""</formula>
    </cfRule>
  </conditionalFormatting>
  <conditionalFormatting sqref="B12">
    <cfRule type="expression" dxfId="59" priority="47">
      <formula>B12&lt;&gt;""</formula>
    </cfRule>
  </conditionalFormatting>
  <conditionalFormatting sqref="A10">
    <cfRule type="expression" dxfId="58" priority="41">
      <formula>A10&lt;&gt;""</formula>
    </cfRule>
  </conditionalFormatting>
  <conditionalFormatting sqref="A11">
    <cfRule type="expression" dxfId="57" priority="40">
      <formula>A11&lt;&gt;""</formula>
    </cfRule>
  </conditionalFormatting>
  <conditionalFormatting sqref="A12">
    <cfRule type="expression" dxfId="56" priority="37">
      <formula>A12&lt;&gt;""</formula>
    </cfRule>
  </conditionalFormatting>
  <conditionalFormatting sqref="A12">
    <cfRule type="expression" dxfId="55" priority="36">
      <formula>A12&lt;&gt;""</formula>
    </cfRule>
  </conditionalFormatting>
  <conditionalFormatting sqref="A11">
    <cfRule type="expression" dxfId="54" priority="35">
      <formula>A11&lt;&gt;""</formula>
    </cfRule>
  </conditionalFormatting>
  <conditionalFormatting sqref="A10">
    <cfRule type="expression" dxfId="53" priority="27">
      <formula>A10&lt;&gt;""</formula>
    </cfRule>
  </conditionalFormatting>
  <conditionalFormatting sqref="A11">
    <cfRule type="expression" dxfId="52" priority="26">
      <formula>A11&lt;&gt;""</formula>
    </cfRule>
  </conditionalFormatting>
  <conditionalFormatting sqref="A12">
    <cfRule type="expression" dxfId="51" priority="23">
      <formula>A12&lt;&gt;""</formula>
    </cfRule>
  </conditionalFormatting>
  <conditionalFormatting sqref="A11">
    <cfRule type="expression" dxfId="50" priority="20">
      <formula>A11&lt;&gt;""</formula>
    </cfRule>
  </conditionalFormatting>
  <conditionalFormatting sqref="A12">
    <cfRule type="expression" dxfId="49" priority="18">
      <formula>A12&lt;&gt;""</formula>
    </cfRule>
  </conditionalFormatting>
  <conditionalFormatting sqref="A12">
    <cfRule type="expression" dxfId="48" priority="17">
      <formula>A12&lt;&gt;""</formula>
    </cfRule>
  </conditionalFormatting>
  <conditionalFormatting sqref="B5">
    <cfRule type="expression" dxfId="47" priority="16">
      <formula>B5&lt;&gt;""</formula>
    </cfRule>
  </conditionalFormatting>
  <conditionalFormatting sqref="B6">
    <cfRule type="expression" dxfId="46" priority="15">
      <formula>B6&lt;&gt;""</formula>
    </cfRule>
  </conditionalFormatting>
  <conditionalFormatting sqref="B7">
    <cfRule type="expression" dxfId="45" priority="14">
      <formula>B7&lt;&gt;""</formula>
    </cfRule>
  </conditionalFormatting>
  <conditionalFormatting sqref="B8">
    <cfRule type="expression" dxfId="44" priority="13">
      <formula>B8&lt;&gt;""</formula>
    </cfRule>
  </conditionalFormatting>
  <conditionalFormatting sqref="B9">
    <cfRule type="expression" dxfId="43" priority="12">
      <formula>B9&lt;&gt;""</formula>
    </cfRule>
  </conditionalFormatting>
  <conditionalFormatting sqref="A5">
    <cfRule type="expression" dxfId="42" priority="11">
      <formula>A5&lt;&gt;""</formula>
    </cfRule>
  </conditionalFormatting>
  <conditionalFormatting sqref="A8">
    <cfRule type="expression" dxfId="41" priority="10">
      <formula>A8&lt;&gt;""</formula>
    </cfRule>
  </conditionalFormatting>
  <conditionalFormatting sqref="A9">
    <cfRule type="expression" dxfId="40" priority="9">
      <formula>A9&lt;&gt;""</formula>
    </cfRule>
  </conditionalFormatting>
  <conditionalFormatting sqref="A9">
    <cfRule type="expression" dxfId="39" priority="8">
      <formula>A9&lt;&gt;""</formula>
    </cfRule>
  </conditionalFormatting>
  <conditionalFormatting sqref="A6">
    <cfRule type="expression" dxfId="38" priority="7">
      <formula>A6&lt;&gt;""</formula>
    </cfRule>
  </conditionalFormatting>
  <conditionalFormatting sqref="A7">
    <cfRule type="expression" dxfId="37" priority="6">
      <formula>A7&lt;&gt;""</formula>
    </cfRule>
  </conditionalFormatting>
  <conditionalFormatting sqref="A8">
    <cfRule type="expression" dxfId="36" priority="5">
      <formula>A8&lt;&gt;""</formula>
    </cfRule>
  </conditionalFormatting>
  <conditionalFormatting sqref="A9">
    <cfRule type="expression" dxfId="35" priority="4">
      <formula>A9&lt;&gt;""</formula>
    </cfRule>
  </conditionalFormatting>
  <conditionalFormatting sqref="A7">
    <cfRule type="expression" dxfId="34" priority="3">
      <formula>A7&lt;&gt;""</formula>
    </cfRule>
  </conditionalFormatting>
  <conditionalFormatting sqref="A9">
    <cfRule type="expression" dxfId="33" priority="2">
      <formula>A9&lt;&gt;""</formula>
    </cfRule>
  </conditionalFormatting>
  <conditionalFormatting sqref="A9">
    <cfRule type="expression" dxfId="32" priority="1">
      <formula>A9&lt;&gt;""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6"/>
  <sheetViews>
    <sheetView zoomScale="70" zoomScaleNormal="70" workbookViewId="0">
      <pane ySplit="8" topLeftCell="A9" activePane="bottomLeft" state="frozen"/>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40" t="s">
        <v>6</v>
      </c>
      <c r="B1" s="41"/>
      <c r="C1" s="6" t="s">
        <v>7</v>
      </c>
      <c r="D1" s="6" t="s">
        <v>8</v>
      </c>
      <c r="E1" s="6" t="s">
        <v>9</v>
      </c>
      <c r="F1" s="6" t="s">
        <v>10</v>
      </c>
      <c r="G1" s="6" t="s">
        <v>11</v>
      </c>
      <c r="H1" s="7" t="s">
        <v>12</v>
      </c>
    </row>
    <row r="2" spans="1:10" x14ac:dyDescent="0.2">
      <c r="A2" s="42" t="s">
        <v>20</v>
      </c>
      <c r="B2" s="43"/>
      <c r="C2" s="46">
        <f>COUNTA($D$9:$D$65503)</f>
        <v>28</v>
      </c>
      <c r="D2" s="13" t="str">
        <f>大中項目!B1</f>
        <v>SSMN</v>
      </c>
      <c r="E2" s="12" t="str">
        <f>大中項目!A5</f>
        <v>SSMN01</v>
      </c>
      <c r="F2" s="9"/>
      <c r="G2" s="9"/>
      <c r="H2" s="8"/>
    </row>
    <row r="3" spans="1:10" x14ac:dyDescent="0.2">
      <c r="A3" s="44"/>
      <c r="B3" s="45"/>
      <c r="C3" s="47"/>
      <c r="D3" s="13" t="str">
        <f>大中項目!B2</f>
        <v>セッション外部管理</v>
      </c>
      <c r="E3" s="12"/>
      <c r="F3" s="9"/>
      <c r="G3" s="9"/>
      <c r="H3" s="9"/>
    </row>
    <row r="4" spans="1:10" x14ac:dyDescent="0.2">
      <c r="A4" s="10"/>
      <c r="B4" s="10"/>
      <c r="C4" s="10"/>
      <c r="D4" s="10"/>
      <c r="E4" s="10"/>
      <c r="F4" s="10"/>
      <c r="G4" s="10"/>
      <c r="H4" s="10"/>
      <c r="I4" s="10"/>
    </row>
    <row r="5" spans="1:10" x14ac:dyDescent="0.2">
      <c r="A5" s="48" t="s">
        <v>13</v>
      </c>
      <c r="B5" s="49"/>
      <c r="C5" s="49"/>
      <c r="D5" s="49"/>
      <c r="E5" s="49"/>
      <c r="F5" s="49"/>
      <c r="G5" s="49"/>
      <c r="H5" s="49"/>
      <c r="I5" s="50"/>
    </row>
    <row r="6" spans="1:10" ht="42" customHeight="1" x14ac:dyDescent="0.2">
      <c r="A6" s="51" t="s">
        <v>14</v>
      </c>
      <c r="B6" s="52"/>
      <c r="C6" s="52"/>
      <c r="D6" s="52"/>
      <c r="E6" s="52"/>
      <c r="F6" s="52"/>
      <c r="G6" s="52"/>
      <c r="H6" s="52"/>
      <c r="I6" s="53"/>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53.25" customHeight="1" x14ac:dyDescent="0.2">
      <c r="A9" s="22" t="str">
        <f>大中項目!C5</f>
        <v>SSMN0101</v>
      </c>
      <c r="B9" s="28">
        <f t="shared" ref="B9:B36" ca="1" si="0">IF(A9&lt;&gt;"",1,INDIRECT(ADDRESS(ROW(B9)-1,COLUMN(B9),4))+1)</f>
        <v>1</v>
      </c>
      <c r="C9" s="23" t="s">
        <v>27</v>
      </c>
      <c r="D9" s="24" t="s">
        <v>36</v>
      </c>
      <c r="E9" s="24" t="s">
        <v>37</v>
      </c>
      <c r="F9" s="24"/>
      <c r="G9" s="24"/>
      <c r="H9" s="24" t="s">
        <v>38</v>
      </c>
      <c r="I9" s="25" t="s">
        <v>28</v>
      </c>
      <c r="J9" s="20"/>
    </row>
    <row r="10" spans="1:10" ht="57.75" customHeight="1" x14ac:dyDescent="0.2">
      <c r="A10" s="26"/>
      <c r="B10" s="28">
        <f t="shared" ca="1" si="0"/>
        <v>2</v>
      </c>
      <c r="C10" s="23" t="s">
        <v>27</v>
      </c>
      <c r="D10" s="27" t="s">
        <v>39</v>
      </c>
      <c r="E10" s="27" t="s">
        <v>40</v>
      </c>
      <c r="F10" s="27"/>
      <c r="G10" s="27"/>
      <c r="H10" s="27" t="s">
        <v>41</v>
      </c>
      <c r="I10" s="25" t="s">
        <v>28</v>
      </c>
      <c r="J10" s="20"/>
    </row>
    <row r="11" spans="1:10" ht="52.8" x14ac:dyDescent="0.2">
      <c r="A11" s="26"/>
      <c r="B11" s="28">
        <f t="shared" ca="1" si="0"/>
        <v>3</v>
      </c>
      <c r="C11" s="23" t="s">
        <v>27</v>
      </c>
      <c r="D11" s="27" t="s">
        <v>42</v>
      </c>
      <c r="E11" s="27" t="s">
        <v>43</v>
      </c>
      <c r="F11" s="27"/>
      <c r="G11" s="27"/>
      <c r="H11" s="27" t="s">
        <v>44</v>
      </c>
      <c r="I11" s="25" t="s">
        <v>28</v>
      </c>
      <c r="J11" s="20"/>
    </row>
    <row r="12" spans="1:10" ht="79.2" x14ac:dyDescent="0.2">
      <c r="A12" s="26"/>
      <c r="B12" s="28">
        <f t="shared" ca="1" si="0"/>
        <v>4</v>
      </c>
      <c r="C12" s="23" t="s">
        <v>27</v>
      </c>
      <c r="D12" s="27" t="s">
        <v>45</v>
      </c>
      <c r="E12" s="27" t="s">
        <v>111</v>
      </c>
      <c r="F12" s="27"/>
      <c r="G12" s="27"/>
      <c r="H12" s="27" t="s">
        <v>46</v>
      </c>
      <c r="I12" s="25" t="s">
        <v>28</v>
      </c>
      <c r="J12" s="20"/>
    </row>
    <row r="13" spans="1:10" ht="330" x14ac:dyDescent="0.2">
      <c r="A13" s="22" t="str">
        <f>大中項目!C6</f>
        <v>SSMN0102</v>
      </c>
      <c r="B13" s="28">
        <f t="shared" ca="1" si="0"/>
        <v>1</v>
      </c>
      <c r="C13" s="23" t="s">
        <v>27</v>
      </c>
      <c r="D13" s="27" t="s">
        <v>47</v>
      </c>
      <c r="E13" s="27" t="s">
        <v>48</v>
      </c>
      <c r="F13" s="27"/>
      <c r="G13" s="27"/>
      <c r="H13" s="27" t="s">
        <v>49</v>
      </c>
      <c r="I13" s="25" t="s">
        <v>28</v>
      </c>
      <c r="J13" s="20"/>
    </row>
    <row r="14" spans="1:10" ht="330" x14ac:dyDescent="0.2">
      <c r="A14" s="26"/>
      <c r="B14" s="28">
        <f t="shared" ca="1" si="0"/>
        <v>2</v>
      </c>
      <c r="C14" s="23" t="s">
        <v>27</v>
      </c>
      <c r="D14" s="27" t="s">
        <v>50</v>
      </c>
      <c r="E14" s="27" t="s">
        <v>51</v>
      </c>
      <c r="F14" s="27"/>
      <c r="G14" s="27"/>
      <c r="H14" s="27" t="s">
        <v>49</v>
      </c>
      <c r="I14" s="25" t="s">
        <v>28</v>
      </c>
      <c r="J14" s="20"/>
    </row>
    <row r="15" spans="1:10" ht="356.4" x14ac:dyDescent="0.2">
      <c r="A15" s="26"/>
      <c r="B15" s="28">
        <f t="shared" ca="1" si="0"/>
        <v>3</v>
      </c>
      <c r="C15" s="23" t="s">
        <v>27</v>
      </c>
      <c r="D15" s="27" t="s">
        <v>52</v>
      </c>
      <c r="E15" s="27" t="s">
        <v>51</v>
      </c>
      <c r="F15" s="27"/>
      <c r="G15" s="27"/>
      <c r="H15" s="27" t="s">
        <v>114</v>
      </c>
      <c r="I15" s="25" t="s">
        <v>28</v>
      </c>
      <c r="J15" s="20"/>
    </row>
    <row r="16" spans="1:10" ht="118.8" x14ac:dyDescent="0.2">
      <c r="A16" s="26"/>
      <c r="B16" s="28">
        <f t="shared" ca="1" si="0"/>
        <v>4</v>
      </c>
      <c r="C16" s="23" t="s">
        <v>27</v>
      </c>
      <c r="D16" s="27" t="s">
        <v>53</v>
      </c>
      <c r="E16" s="27" t="s">
        <v>54</v>
      </c>
      <c r="F16" s="27"/>
      <c r="G16" s="27"/>
      <c r="H16" s="27" t="s">
        <v>55</v>
      </c>
      <c r="I16" s="25" t="s">
        <v>28</v>
      </c>
      <c r="J16" s="20"/>
    </row>
    <row r="17" spans="1:10" ht="224.4" x14ac:dyDescent="0.2">
      <c r="A17" s="26"/>
      <c r="B17" s="28">
        <f t="shared" ca="1" si="0"/>
        <v>5</v>
      </c>
      <c r="C17" s="23" t="s">
        <v>27</v>
      </c>
      <c r="D17" s="27" t="s">
        <v>57</v>
      </c>
      <c r="E17" s="27" t="s">
        <v>58</v>
      </c>
      <c r="F17" s="27"/>
      <c r="G17" s="27"/>
      <c r="H17" s="27" t="s">
        <v>59</v>
      </c>
      <c r="I17" s="25" t="s">
        <v>28</v>
      </c>
      <c r="J17" s="20"/>
    </row>
    <row r="18" spans="1:10" ht="250.8" x14ac:dyDescent="0.2">
      <c r="A18" s="26"/>
      <c r="B18" s="28">
        <f t="shared" ca="1" si="0"/>
        <v>6</v>
      </c>
      <c r="C18" s="23" t="s">
        <v>27</v>
      </c>
      <c r="D18" s="27" t="s">
        <v>60</v>
      </c>
      <c r="E18" s="27" t="s">
        <v>56</v>
      </c>
      <c r="F18" s="27"/>
      <c r="G18" s="27"/>
      <c r="H18" s="27" t="s">
        <v>61</v>
      </c>
      <c r="I18" s="25" t="s">
        <v>28</v>
      </c>
      <c r="J18" s="20"/>
    </row>
    <row r="19" spans="1:10" ht="118.8" x14ac:dyDescent="0.2">
      <c r="A19" s="26"/>
      <c r="B19" s="28">
        <f t="shared" ca="1" si="0"/>
        <v>7</v>
      </c>
      <c r="C19" s="23" t="s">
        <v>27</v>
      </c>
      <c r="D19" s="27" t="s">
        <v>62</v>
      </c>
      <c r="E19" s="27" t="s">
        <v>54</v>
      </c>
      <c r="F19" s="27"/>
      <c r="G19" s="27"/>
      <c r="H19" s="27" t="s">
        <v>63</v>
      </c>
      <c r="I19" s="25" t="s">
        <v>28</v>
      </c>
    </row>
    <row r="20" spans="1:10" ht="52.8" x14ac:dyDescent="0.2">
      <c r="A20" s="26"/>
      <c r="B20" s="28">
        <f t="shared" ca="1" si="0"/>
        <v>8</v>
      </c>
      <c r="C20" s="23" t="s">
        <v>29</v>
      </c>
      <c r="D20" s="27" t="s">
        <v>64</v>
      </c>
      <c r="E20" s="37" t="s">
        <v>65</v>
      </c>
      <c r="F20" s="27"/>
      <c r="G20" s="27"/>
      <c r="H20" s="27" t="s">
        <v>66</v>
      </c>
      <c r="I20" s="25" t="s">
        <v>28</v>
      </c>
    </row>
    <row r="21" spans="1:10" ht="62.25" customHeight="1" x14ac:dyDescent="0.2">
      <c r="A21" s="26"/>
      <c r="B21" s="28">
        <f t="shared" ca="1" si="0"/>
        <v>9</v>
      </c>
      <c r="C21" s="23" t="s">
        <v>29</v>
      </c>
      <c r="D21" s="27" t="s">
        <v>67</v>
      </c>
      <c r="E21" s="37" t="s">
        <v>115</v>
      </c>
      <c r="F21" s="27"/>
      <c r="G21" s="27"/>
      <c r="H21" s="27" t="s">
        <v>68</v>
      </c>
      <c r="I21" s="25" t="s">
        <v>28</v>
      </c>
    </row>
    <row r="22" spans="1:10" ht="39.6" x14ac:dyDescent="0.2">
      <c r="A22" s="26"/>
      <c r="B22" s="28">
        <f t="shared" ca="1" si="0"/>
        <v>10</v>
      </c>
      <c r="C22" s="23" t="s">
        <v>29</v>
      </c>
      <c r="D22" s="27" t="s">
        <v>69</v>
      </c>
      <c r="E22" s="37" t="s">
        <v>116</v>
      </c>
      <c r="F22" s="27"/>
      <c r="G22" s="27"/>
      <c r="H22" s="27" t="s">
        <v>70</v>
      </c>
      <c r="I22" s="25" t="s">
        <v>28</v>
      </c>
    </row>
    <row r="23" spans="1:10" ht="39.6" x14ac:dyDescent="0.2">
      <c r="A23" s="26"/>
      <c r="B23" s="28">
        <f t="shared" ca="1" si="0"/>
        <v>11</v>
      </c>
      <c r="C23" s="23" t="s">
        <v>29</v>
      </c>
      <c r="D23" s="27" t="s">
        <v>71</v>
      </c>
      <c r="E23" s="37" t="s">
        <v>72</v>
      </c>
      <c r="F23" s="27"/>
      <c r="G23" s="27"/>
      <c r="H23" s="27" t="s">
        <v>73</v>
      </c>
      <c r="I23" s="25" t="s">
        <v>28</v>
      </c>
    </row>
    <row r="24" spans="1:10" ht="39.6" x14ac:dyDescent="0.2">
      <c r="A24" s="26"/>
      <c r="B24" s="28">
        <f t="shared" ca="1" si="0"/>
        <v>12</v>
      </c>
      <c r="C24" s="23" t="s">
        <v>29</v>
      </c>
      <c r="D24" s="27" t="s">
        <v>74</v>
      </c>
      <c r="E24" s="37" t="s">
        <v>75</v>
      </c>
      <c r="F24" s="27"/>
      <c r="G24" s="27"/>
      <c r="H24" s="27" t="s">
        <v>76</v>
      </c>
      <c r="I24" s="25" t="s">
        <v>28</v>
      </c>
    </row>
    <row r="25" spans="1:10" ht="171.6" x14ac:dyDescent="0.2">
      <c r="A25" s="26"/>
      <c r="B25" s="28">
        <f t="shared" ca="1" si="0"/>
        <v>13</v>
      </c>
      <c r="C25" s="23" t="s">
        <v>27</v>
      </c>
      <c r="D25" s="27" t="s">
        <v>77</v>
      </c>
      <c r="E25" s="37" t="s">
        <v>75</v>
      </c>
      <c r="F25" s="27"/>
      <c r="G25" s="27"/>
      <c r="H25" s="27" t="s">
        <v>78</v>
      </c>
      <c r="I25" s="25" t="s">
        <v>28</v>
      </c>
    </row>
    <row r="26" spans="1:10" ht="145.19999999999999" x14ac:dyDescent="0.2">
      <c r="A26" s="26"/>
      <c r="B26" s="28">
        <f t="shared" ca="1" si="0"/>
        <v>14</v>
      </c>
      <c r="C26" s="23" t="s">
        <v>27</v>
      </c>
      <c r="D26" s="27" t="s">
        <v>79</v>
      </c>
      <c r="E26" s="37" t="s">
        <v>80</v>
      </c>
      <c r="F26" s="27"/>
      <c r="G26" s="27"/>
      <c r="H26" s="27" t="s">
        <v>81</v>
      </c>
      <c r="I26" s="25" t="s">
        <v>28</v>
      </c>
    </row>
    <row r="27" spans="1:10" ht="145.19999999999999" x14ac:dyDescent="0.2">
      <c r="A27" s="26"/>
      <c r="B27" s="28">
        <f t="shared" ca="1" si="0"/>
        <v>15</v>
      </c>
      <c r="C27" s="23" t="s">
        <v>29</v>
      </c>
      <c r="D27" s="27" t="s">
        <v>82</v>
      </c>
      <c r="E27" s="37" t="s">
        <v>83</v>
      </c>
      <c r="F27" s="27"/>
      <c r="G27" s="27"/>
      <c r="H27" s="27" t="s">
        <v>84</v>
      </c>
      <c r="I27" s="25" t="s">
        <v>28</v>
      </c>
    </row>
    <row r="28" spans="1:10" ht="39.6" x14ac:dyDescent="0.2">
      <c r="A28" s="26"/>
      <c r="B28" s="28">
        <f t="shared" ca="1" si="0"/>
        <v>16</v>
      </c>
      <c r="C28" s="23" t="s">
        <v>29</v>
      </c>
      <c r="D28" s="27" t="s">
        <v>85</v>
      </c>
      <c r="E28" s="37" t="s">
        <v>86</v>
      </c>
      <c r="F28" s="27"/>
      <c r="G28" s="27"/>
      <c r="H28" s="27" t="s">
        <v>87</v>
      </c>
      <c r="I28" s="25" t="s">
        <v>28</v>
      </c>
    </row>
    <row r="29" spans="1:10" ht="92.4" x14ac:dyDescent="0.2">
      <c r="A29" s="22" t="str">
        <f>大中項目!C7</f>
        <v>SSMN0103</v>
      </c>
      <c r="B29" s="28">
        <f t="shared" ca="1" si="0"/>
        <v>1</v>
      </c>
      <c r="C29" s="23" t="s">
        <v>29</v>
      </c>
      <c r="D29" s="27" t="s">
        <v>88</v>
      </c>
      <c r="E29" s="27" t="s">
        <v>89</v>
      </c>
      <c r="F29" s="27"/>
      <c r="G29" s="27"/>
      <c r="H29" s="27" t="s">
        <v>90</v>
      </c>
      <c r="I29" s="25" t="s">
        <v>28</v>
      </c>
    </row>
    <row r="30" spans="1:10" ht="92.4" x14ac:dyDescent="0.2">
      <c r="A30" s="26"/>
      <c r="B30" s="28">
        <f t="shared" ca="1" si="0"/>
        <v>2</v>
      </c>
      <c r="C30" s="23" t="s">
        <v>29</v>
      </c>
      <c r="D30" s="27" t="s">
        <v>91</v>
      </c>
      <c r="E30" s="27" t="s">
        <v>92</v>
      </c>
      <c r="F30" s="27"/>
      <c r="G30" s="27"/>
      <c r="H30" s="27" t="s">
        <v>93</v>
      </c>
      <c r="I30" s="25" t="s">
        <v>28</v>
      </c>
    </row>
    <row r="31" spans="1:10" ht="92.4" x14ac:dyDescent="0.2">
      <c r="A31" s="26"/>
      <c r="B31" s="28">
        <f t="shared" ca="1" si="0"/>
        <v>3</v>
      </c>
      <c r="C31" s="23" t="s">
        <v>29</v>
      </c>
      <c r="D31" s="27" t="s">
        <v>91</v>
      </c>
      <c r="E31" s="27" t="s">
        <v>94</v>
      </c>
      <c r="F31" s="27"/>
      <c r="G31" s="27"/>
      <c r="H31" s="27" t="s">
        <v>93</v>
      </c>
      <c r="I31" s="25" t="s">
        <v>28</v>
      </c>
    </row>
    <row r="32" spans="1:10" ht="79.2" x14ac:dyDescent="0.2">
      <c r="A32" s="26"/>
      <c r="B32" s="28">
        <f t="shared" ca="1" si="0"/>
        <v>4</v>
      </c>
      <c r="C32" s="23" t="s">
        <v>29</v>
      </c>
      <c r="D32" s="27" t="s">
        <v>95</v>
      </c>
      <c r="E32" s="27" t="s">
        <v>96</v>
      </c>
      <c r="F32" s="27"/>
      <c r="G32" s="27"/>
      <c r="H32" s="27" t="s">
        <v>97</v>
      </c>
      <c r="I32" s="25" t="s">
        <v>28</v>
      </c>
    </row>
    <row r="33" spans="1:9" ht="92.4" x14ac:dyDescent="0.2">
      <c r="A33" s="26"/>
      <c r="B33" s="28">
        <f t="shared" ca="1" si="0"/>
        <v>5</v>
      </c>
      <c r="C33" s="23" t="s">
        <v>27</v>
      </c>
      <c r="D33" s="27" t="s">
        <v>98</v>
      </c>
      <c r="E33" s="27" t="s">
        <v>89</v>
      </c>
      <c r="F33" s="27"/>
      <c r="G33" s="27"/>
      <c r="H33" s="27" t="s">
        <v>99</v>
      </c>
      <c r="I33" s="25" t="s">
        <v>28</v>
      </c>
    </row>
    <row r="34" spans="1:9" ht="132" x14ac:dyDescent="0.2">
      <c r="A34" s="26"/>
      <c r="B34" s="28">
        <f t="shared" ca="1" si="0"/>
        <v>6</v>
      </c>
      <c r="C34" s="23" t="s">
        <v>27</v>
      </c>
      <c r="D34" s="27" t="s">
        <v>100</v>
      </c>
      <c r="E34" s="27" t="s">
        <v>101</v>
      </c>
      <c r="F34" s="27"/>
      <c r="G34" s="27"/>
      <c r="H34" s="27" t="s">
        <v>102</v>
      </c>
      <c r="I34" s="25" t="s">
        <v>28</v>
      </c>
    </row>
    <row r="35" spans="1:9" ht="92.4" x14ac:dyDescent="0.2">
      <c r="A35" s="22" t="str">
        <f>大中項目!C8</f>
        <v>SSMN0104</v>
      </c>
      <c r="B35" s="28">
        <f t="shared" ca="1" si="0"/>
        <v>1</v>
      </c>
      <c r="C35" s="23" t="s">
        <v>27</v>
      </c>
      <c r="D35" s="27" t="s">
        <v>103</v>
      </c>
      <c r="E35" s="27" t="s">
        <v>104</v>
      </c>
      <c r="F35" s="27"/>
      <c r="G35" s="27"/>
      <c r="H35" s="27" t="s">
        <v>105</v>
      </c>
      <c r="I35" s="25" t="s">
        <v>28</v>
      </c>
    </row>
    <row r="36" spans="1:9" ht="118.8" x14ac:dyDescent="0.2">
      <c r="A36" s="22" t="str">
        <f>大中項目!C9</f>
        <v>SSMN0105</v>
      </c>
      <c r="B36" s="29">
        <f t="shared" ca="1" si="0"/>
        <v>1</v>
      </c>
      <c r="C36" s="23" t="s">
        <v>29</v>
      </c>
      <c r="D36" s="27" t="s">
        <v>106</v>
      </c>
      <c r="E36" s="27" t="s">
        <v>48</v>
      </c>
      <c r="F36" s="27"/>
      <c r="G36" s="27"/>
      <c r="H36" s="27" t="s">
        <v>107</v>
      </c>
      <c r="I36" s="25" t="s">
        <v>28</v>
      </c>
    </row>
  </sheetData>
  <mergeCells count="5">
    <mergeCell ref="A1:B1"/>
    <mergeCell ref="A2:B3"/>
    <mergeCell ref="C2:C3"/>
    <mergeCell ref="A5:I5"/>
    <mergeCell ref="A6:I6"/>
  </mergeCells>
  <phoneticPr fontId="2"/>
  <conditionalFormatting sqref="A10:B12 A30:B34 A14:B28 B9:B36">
    <cfRule type="expression" dxfId="31" priority="35">
      <formula>A9&lt;&gt;""</formula>
    </cfRule>
  </conditionalFormatting>
  <conditionalFormatting sqref="B9">
    <cfRule type="expression" dxfId="30" priority="33">
      <formula>B9&lt;&gt;""</formula>
    </cfRule>
  </conditionalFormatting>
  <conditionalFormatting sqref="B9">
    <cfRule type="expression" dxfId="29" priority="32">
      <formula>B9&lt;&gt;""</formula>
    </cfRule>
  </conditionalFormatting>
  <conditionalFormatting sqref="B9">
    <cfRule type="expression" dxfId="28" priority="31">
      <formula>B9&lt;&gt;""</formula>
    </cfRule>
  </conditionalFormatting>
  <conditionalFormatting sqref="B10">
    <cfRule type="expression" dxfId="27" priority="30">
      <formula>B10&lt;&gt;""</formula>
    </cfRule>
  </conditionalFormatting>
  <conditionalFormatting sqref="B10">
    <cfRule type="expression" dxfId="26" priority="29">
      <formula>B10&lt;&gt;""</formula>
    </cfRule>
  </conditionalFormatting>
  <conditionalFormatting sqref="B10">
    <cfRule type="expression" dxfId="25" priority="28">
      <formula>B10&lt;&gt;""</formula>
    </cfRule>
  </conditionalFormatting>
  <conditionalFormatting sqref="B11">
    <cfRule type="expression" dxfId="24" priority="27">
      <formula>B11&lt;&gt;""</formula>
    </cfRule>
  </conditionalFormatting>
  <conditionalFormatting sqref="B11">
    <cfRule type="expression" dxfId="23" priority="26">
      <formula>B11&lt;&gt;""</formula>
    </cfRule>
  </conditionalFormatting>
  <conditionalFormatting sqref="B11">
    <cfRule type="expression" dxfId="22" priority="25">
      <formula>B11&lt;&gt;""</formula>
    </cfRule>
  </conditionalFormatting>
  <conditionalFormatting sqref="B12">
    <cfRule type="expression" dxfId="21" priority="24">
      <formula>B12&lt;&gt;""</formula>
    </cfRule>
  </conditionalFormatting>
  <conditionalFormatting sqref="B12">
    <cfRule type="expression" dxfId="20" priority="23">
      <formula>B12&lt;&gt;""</formula>
    </cfRule>
  </conditionalFormatting>
  <conditionalFormatting sqref="B12">
    <cfRule type="expression" dxfId="19" priority="22">
      <formula>B12&lt;&gt;""</formula>
    </cfRule>
  </conditionalFormatting>
  <conditionalFormatting sqref="B13">
    <cfRule type="expression" dxfId="18" priority="21">
      <formula>B13&lt;&gt;""</formula>
    </cfRule>
  </conditionalFormatting>
  <conditionalFormatting sqref="B13">
    <cfRule type="expression" dxfId="17" priority="20">
      <formula>B13&lt;&gt;""</formula>
    </cfRule>
  </conditionalFormatting>
  <conditionalFormatting sqref="B13">
    <cfRule type="expression" dxfId="16" priority="19">
      <formula>B13&lt;&gt;""</formula>
    </cfRule>
  </conditionalFormatting>
  <conditionalFormatting sqref="B14">
    <cfRule type="expression" dxfId="15" priority="18">
      <formula>B14&lt;&gt;""</formula>
    </cfRule>
  </conditionalFormatting>
  <conditionalFormatting sqref="B14">
    <cfRule type="expression" dxfId="14" priority="17">
      <formula>B14&lt;&gt;""</formula>
    </cfRule>
  </conditionalFormatting>
  <conditionalFormatting sqref="B14">
    <cfRule type="expression" dxfId="13" priority="16">
      <formula>B14&lt;&gt;""</formula>
    </cfRule>
  </conditionalFormatting>
  <conditionalFormatting sqref="B15">
    <cfRule type="expression" dxfId="12" priority="15">
      <formula>B15&lt;&gt;""</formula>
    </cfRule>
  </conditionalFormatting>
  <conditionalFormatting sqref="B15">
    <cfRule type="expression" dxfId="11" priority="14">
      <formula>B15&lt;&gt;""</formula>
    </cfRule>
  </conditionalFormatting>
  <conditionalFormatting sqref="B15">
    <cfRule type="expression" dxfId="10" priority="13">
      <formula>B15&lt;&gt;""</formula>
    </cfRule>
  </conditionalFormatting>
  <conditionalFormatting sqref="B16">
    <cfRule type="expression" dxfId="9" priority="12">
      <formula>B16&lt;&gt;""</formula>
    </cfRule>
  </conditionalFormatting>
  <conditionalFormatting sqref="B16">
    <cfRule type="expression" dxfId="8" priority="11">
      <formula>B16&lt;&gt;""</formula>
    </cfRule>
  </conditionalFormatting>
  <conditionalFormatting sqref="B16">
    <cfRule type="expression" dxfId="7" priority="10">
      <formula>B16&lt;&gt;""</formula>
    </cfRule>
  </conditionalFormatting>
  <conditionalFormatting sqref="B36">
    <cfRule type="expression" dxfId="6" priority="3">
      <formula>B36&lt;&gt;""</formula>
    </cfRule>
  </conditionalFormatting>
  <conditionalFormatting sqref="B36">
    <cfRule type="expression" dxfId="5" priority="2">
      <formula>B36&lt;&gt;""</formula>
    </cfRule>
  </conditionalFormatting>
  <conditionalFormatting sqref="B36">
    <cfRule type="expression" dxfId="4" priority="1">
      <formula>B36&lt;&gt;""</formula>
    </cfRule>
  </conditionalFormatting>
  <dataValidations count="2">
    <dataValidation type="list" allowBlank="1" showInputMessage="1" showErrorMessage="1" sqref="I9:I36">
      <formula1>"Selenium:○,Seleniumu:△,Selenium:×,JUnit:○,JUnit:△,Junit:×,手動実行,机上"</formula1>
    </dataValidation>
    <dataValidation type="list" allowBlank="1" showInputMessage="1" showErrorMessage="1" sqref="C9:C36">
      <formula1>"正常,クライアントエラー,サーバーエラー"</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zoomScale="70" zoomScaleNormal="70" workbookViewId="0">
      <pane ySplit="8" topLeftCell="A9" activePane="bottomLeft" state="frozen"/>
      <selection pane="bottomLeft" activeCell="A10" sqref="A10"/>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40" t="s">
        <v>6</v>
      </c>
      <c r="B1" s="41"/>
      <c r="C1" s="6" t="s">
        <v>7</v>
      </c>
      <c r="D1" s="6" t="s">
        <v>8</v>
      </c>
      <c r="E1" s="6" t="s">
        <v>9</v>
      </c>
      <c r="F1" s="6" t="s">
        <v>10</v>
      </c>
      <c r="G1" s="6" t="s">
        <v>11</v>
      </c>
      <c r="H1" s="7" t="s">
        <v>12</v>
      </c>
    </row>
    <row r="2" spans="1:10" x14ac:dyDescent="0.2">
      <c r="A2" s="42" t="s">
        <v>20</v>
      </c>
      <c r="B2" s="43"/>
      <c r="C2" s="46">
        <f>COUNTA($D$9:$D$65466)</f>
        <v>3</v>
      </c>
      <c r="D2" s="13" t="str">
        <f>大中項目!B1</f>
        <v>SSMN</v>
      </c>
      <c r="E2" s="12" t="str">
        <f>大中項目!A10</f>
        <v>SSMN02</v>
      </c>
      <c r="F2" s="9" t="s">
        <v>26</v>
      </c>
      <c r="G2" s="9"/>
      <c r="H2" s="8"/>
    </row>
    <row r="3" spans="1:10" x14ac:dyDescent="0.2">
      <c r="A3" s="44"/>
      <c r="B3" s="45"/>
      <c r="C3" s="47"/>
      <c r="D3" s="13" t="str">
        <f>大中項目!B2</f>
        <v>セッション外部管理</v>
      </c>
      <c r="E3" s="12"/>
      <c r="F3" s="9">
        <v>43041</v>
      </c>
      <c r="G3" s="9"/>
      <c r="H3" s="9"/>
    </row>
    <row r="4" spans="1:10" x14ac:dyDescent="0.2">
      <c r="A4" s="10"/>
      <c r="B4" s="10"/>
      <c r="C4" s="10"/>
      <c r="D4" s="10"/>
      <c r="E4" s="10"/>
      <c r="F4" s="10"/>
      <c r="G4" s="10"/>
      <c r="H4" s="10"/>
      <c r="I4" s="10"/>
    </row>
    <row r="5" spans="1:10" x14ac:dyDescent="0.2">
      <c r="A5" s="48" t="s">
        <v>13</v>
      </c>
      <c r="B5" s="49"/>
      <c r="C5" s="49"/>
      <c r="D5" s="49"/>
      <c r="E5" s="49"/>
      <c r="F5" s="49"/>
      <c r="G5" s="49"/>
      <c r="H5" s="49"/>
      <c r="I5" s="50"/>
    </row>
    <row r="6" spans="1:10" ht="42" customHeight="1" x14ac:dyDescent="0.2">
      <c r="A6" s="51" t="s">
        <v>14</v>
      </c>
      <c r="B6" s="52"/>
      <c r="C6" s="52"/>
      <c r="D6" s="52"/>
      <c r="E6" s="52"/>
      <c r="F6" s="52"/>
      <c r="G6" s="52"/>
      <c r="H6" s="52"/>
      <c r="I6" s="53"/>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53.25" customHeight="1" x14ac:dyDescent="0.2">
      <c r="A9" s="22" t="str">
        <f>大中項目!C10</f>
        <v>SSMN0201</v>
      </c>
      <c r="B9" s="28">
        <f t="shared" ref="B9:B11" ca="1" si="0">IF(A9&lt;&gt;"",1,INDIRECT(ADDRESS(ROW(B9)-1,COLUMN(B9),4))+1)</f>
        <v>1</v>
      </c>
      <c r="C9" s="23" t="s">
        <v>27</v>
      </c>
      <c r="D9" s="24" t="s">
        <v>120</v>
      </c>
      <c r="E9" s="24" t="s">
        <v>112</v>
      </c>
      <c r="F9" s="24"/>
      <c r="G9" s="24"/>
      <c r="H9" s="24" t="s">
        <v>121</v>
      </c>
      <c r="I9" s="25" t="s">
        <v>28</v>
      </c>
      <c r="J9" s="20"/>
    </row>
    <row r="10" spans="1:10" ht="53.25" customHeight="1" x14ac:dyDescent="0.2">
      <c r="A10" s="22" t="str">
        <f>大中項目!C11</f>
        <v>SSMN0202</v>
      </c>
      <c r="B10" s="28">
        <f t="shared" ca="1" si="0"/>
        <v>1</v>
      </c>
      <c r="C10" s="23" t="s">
        <v>27</v>
      </c>
      <c r="D10" s="24" t="s">
        <v>118</v>
      </c>
      <c r="E10" s="27" t="s">
        <v>119</v>
      </c>
      <c r="F10" s="27"/>
      <c r="G10" s="27"/>
      <c r="H10" s="27" t="s">
        <v>117</v>
      </c>
      <c r="I10" s="25" t="s">
        <v>28</v>
      </c>
      <c r="J10" s="20"/>
    </row>
    <row r="11" spans="1:10" ht="53.25" customHeight="1" x14ac:dyDescent="0.2">
      <c r="A11" s="39" t="str">
        <f>大中項目!C12</f>
        <v>SSMN0203</v>
      </c>
      <c r="B11" s="29">
        <f t="shared" ca="1" si="0"/>
        <v>1</v>
      </c>
      <c r="C11" s="23" t="s">
        <v>29</v>
      </c>
      <c r="D11" s="24" t="s">
        <v>110</v>
      </c>
      <c r="E11" s="21" t="s">
        <v>113</v>
      </c>
      <c r="F11" s="24"/>
      <c r="G11" s="24"/>
      <c r="H11" s="27" t="s">
        <v>109</v>
      </c>
      <c r="I11" s="25" t="s">
        <v>28</v>
      </c>
      <c r="J11" s="20"/>
    </row>
  </sheetData>
  <mergeCells count="5">
    <mergeCell ref="A1:B1"/>
    <mergeCell ref="A2:B3"/>
    <mergeCell ref="C2:C3"/>
    <mergeCell ref="A5:I5"/>
    <mergeCell ref="A6:I6"/>
  </mergeCells>
  <phoneticPr fontId="2"/>
  <conditionalFormatting sqref="B9:B11">
    <cfRule type="expression" dxfId="3" priority="36">
      <formula>B9&lt;&gt;""</formula>
    </cfRule>
  </conditionalFormatting>
  <conditionalFormatting sqref="B9:B11">
    <cfRule type="expression" dxfId="2" priority="34">
      <formula>B9&lt;&gt;""</formula>
    </cfRule>
  </conditionalFormatting>
  <conditionalFormatting sqref="B9:B11">
    <cfRule type="expression" dxfId="1" priority="33">
      <formula>B9&lt;&gt;""</formula>
    </cfRule>
  </conditionalFormatting>
  <conditionalFormatting sqref="B9:B11">
    <cfRule type="expression" dxfId="0" priority="32">
      <formula>B9&lt;&gt;""</formula>
    </cfRule>
  </conditionalFormatting>
  <dataValidations disablePrompts="1" count="2">
    <dataValidation type="list" allowBlank="1" showInputMessage="1" showErrorMessage="1" sqref="C9:C11">
      <formula1>"正常,クライアントエラー,サーバーエラー"</formula1>
    </dataValidation>
    <dataValidation type="list" allowBlank="1" showInputMessage="1" showErrorMessage="1" sqref="I9:I11">
      <formula1>"Selenium:○,Seleniumu:△,Selenium:×,JUnit:○,JUnit:△,Junit:×,手動実行,机上"</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大中項目</vt:lpstr>
      <vt:lpstr>SSMN01</vt:lpstr>
      <vt:lpstr>SSMN02</vt:lpstr>
      <vt:lpstr>SSMN01!Print_Titles</vt:lpstr>
      <vt:lpstr>SSMN02!Print_Titles</vt:lpstr>
      <vt:lpstr>大中項目!Print_Titles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btishiwatasns</dc:creator>
  <cp:lastModifiedBy>terafw2651</cp:lastModifiedBy>
  <cp:lastPrinted>2013-11-12T01:02:24Z</cp:lastPrinted>
  <dcterms:created xsi:type="dcterms:W3CDTF">2013-11-07T11:05:46Z</dcterms:created>
  <dcterms:modified xsi:type="dcterms:W3CDTF">2018-11-28T05:07:25Z</dcterms:modified>
</cp:coreProperties>
</file>