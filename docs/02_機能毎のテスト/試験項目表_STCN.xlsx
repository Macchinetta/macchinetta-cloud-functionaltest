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workspace-sts\macchinetta-cloud-functionaltest\docs\02_機能毎のテスト\"/>
    </mc:Choice>
  </mc:AlternateContent>
  <bookViews>
    <workbookView xWindow="1440" yWindow="3465" windowWidth="25020" windowHeight="8340" activeTab="1"/>
  </bookViews>
  <sheets>
    <sheet name="大中項目" sheetId="1" r:id="rId1"/>
    <sheet name="STCN01" sheetId="6" r:id="rId2"/>
  </sheets>
  <definedNames>
    <definedName name="_xlnm.Print_Titles" localSheetId="1">STCN01!$1:$8</definedName>
    <definedName name="_xlnm.Print_Titles" localSheetId="0">大中項目!$1:$4</definedName>
  </definedNames>
  <calcPr calcId="152511"/>
</workbook>
</file>

<file path=xl/calcChain.xml><?xml version="1.0" encoding="utf-8"?>
<calcChain xmlns="http://schemas.openxmlformats.org/spreadsheetml/2006/main">
  <c r="D3" i="6" l="1"/>
  <c r="D2" i="6"/>
  <c r="A14" i="1"/>
  <c r="A12" i="1"/>
  <c r="A11" i="1"/>
  <c r="A9" i="1"/>
  <c r="A7" i="1"/>
  <c r="A13" i="1"/>
  <c r="A10" i="1"/>
  <c r="A8" i="1"/>
  <c r="A6" i="1"/>
  <c r="B9" i="6"/>
  <c r="C5" i="1" l="1"/>
  <c r="B10" i="6"/>
  <c r="C6" i="1" l="1"/>
  <c r="B11" i="6"/>
  <c r="C7" i="1" l="1"/>
  <c r="B12" i="6"/>
  <c r="C8" i="1" l="1"/>
  <c r="C2" i="6"/>
  <c r="B13" i="6"/>
  <c r="C9" i="1" l="1"/>
  <c r="B14" i="6"/>
  <c r="C10" i="1" l="1"/>
  <c r="B15" i="6"/>
  <c r="C11" i="1" l="1"/>
  <c r="B16" i="6"/>
  <c r="C12" i="1" l="1"/>
  <c r="B17" i="6"/>
  <c r="C13" i="1" l="1"/>
  <c r="B18" i="6"/>
  <c r="C14" i="1" l="1"/>
  <c r="B19" i="6"/>
</calcChain>
</file>

<file path=xl/sharedStrings.xml><?xml version="1.0" encoding="utf-8"?>
<sst xmlns="http://schemas.openxmlformats.org/spreadsheetml/2006/main" count="53" uniqueCount="46">
  <si>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</si>
  <si>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</si>
  <si>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</si>
  <si>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</si>
  <si>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</si>
  <si>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</si>
  <si>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</si>
  <si>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</si>
  <si>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</si>
  <si>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</si>
  <si>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</si>
  <si>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</si>
  <si>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</si>
  <si>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</si>
  <si>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</si>
  <si>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</si>
  <si>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</si>
  <si>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</si>
  <si>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</si>
  <si>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</si>
  <si>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</si>
  <si>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</si>
  <si>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</si>
  <si>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</si>
  <si>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総件数</t>
    <rPh sb="0" eb="3">
      <t>ソウケンスウ</t>
    </rPh>
    <phoneticPr fontId="2"/>
  </si>
  <si>
    <t>STCN</t>
    <phoneticPr fontId="2"/>
  </si>
  <si>
    <t>静的コンテンツの配信</t>
    <rPh sb="0" eb="2">
      <t>セイテキ</t>
    </rPh>
    <rPh sb="8" eb="10">
      <t>ハイシン</t>
    </rPh>
    <phoneticPr fontId="2"/>
  </si>
  <si>
    <t>STCN01</t>
    <phoneticPr fontId="2"/>
  </si>
  <si>
    <t>CloudFrontのキャッシュから画像を配信していること</t>
    <rPh sb="18" eb="20">
      <t>ガゾウ</t>
    </rPh>
    <rPh sb="21" eb="23">
      <t>ハイシン</t>
    </rPh>
    <phoneticPr fontId="2"/>
  </si>
  <si>
    <t>CloudFrontが配信している画像をJSPで表示できること</t>
    <rPh sb="11" eb="13">
      <t>ハイシン</t>
    </rPh>
    <rPh sb="17" eb="19">
      <t>ガゾウ</t>
    </rPh>
    <rPh sb="24" eb="26">
      <t>ヒョウジ</t>
    </rPh>
    <phoneticPr fontId="2"/>
  </si>
  <si>
    <t>STCN0101</t>
    <phoneticPr fontId="2"/>
  </si>
  <si>
    <t>正常</t>
  </si>
  <si>
    <t>CloudFrontから画像を取得し、JSPで表示できること</t>
    <rPh sb="12" eb="14">
      <t>ガゾウ</t>
    </rPh>
    <rPh sb="15" eb="17">
      <t>シュトク</t>
    </rPh>
    <rPh sb="23" eb="25">
      <t>ヒョウジ</t>
    </rPh>
    <phoneticPr fontId="2"/>
  </si>
  <si>
    <t>STCN0102</t>
    <phoneticPr fontId="2"/>
  </si>
  <si>
    <t>CloudFrontのキャッシュから画像を取得していること</t>
    <rPh sb="18" eb="20">
      <t>ガゾウ</t>
    </rPh>
    <rPh sb="21" eb="23">
      <t>シュトク</t>
    </rPh>
    <phoneticPr fontId="2"/>
  </si>
  <si>
    <t>CloudFrontから取得した画像が、想定している画像と一致すること</t>
    <rPh sb="12" eb="14">
      <t>シュトク</t>
    </rPh>
    <rPh sb="16" eb="18">
      <t>ガゾウ</t>
    </rPh>
    <rPh sb="20" eb="22">
      <t>ソウテイ</t>
    </rPh>
    <rPh sb="26" eb="28">
      <t>ガゾウ</t>
    </rPh>
    <rPh sb="29" eb="31">
      <t>イッチ</t>
    </rPh>
    <phoneticPr fontId="2"/>
  </si>
  <si>
    <t>JUnit:○</t>
  </si>
  <si>
    <t>オリジンサーバからCDNを通して静的コンテンツを配信できるようにする。</t>
    <rPh sb="13" eb="14">
      <t>トオ</t>
    </rPh>
    <rPh sb="16" eb="18">
      <t>セイテキ</t>
    </rPh>
    <rPh sb="24" eb="26">
      <t>ハイシン</t>
    </rPh>
    <phoneticPr fontId="2"/>
  </si>
  <si>
    <t xml:space="preserve">Amazon S3のバケットとAmazon Cloud Front のウェブディストリビューションを作成する。S3からCloudFrontを利用して、静的コンテンツを配信できる状態にする。
詳細手順は以下のドキュメントを参照する。
http://docs.aws.amazon.com/ja_jp/AmazonCloudFront/latest/DeveloperGuide/GettingStarted.html
S3に画像ファイルを配置して、CloudFrontを通して配信できるようにする。
</t>
    <rPh sb="212" eb="214">
      <t>ガゾウ</t>
    </rPh>
    <rPh sb="219" eb="221">
      <t>ハイチ</t>
    </rPh>
    <rPh sb="235" eb="236">
      <t>トオ</t>
    </rPh>
    <rPh sb="238" eb="240">
      <t>ハイシン</t>
    </rPh>
    <phoneticPr fontId="2"/>
  </si>
  <si>
    <t>Amazon S3のバケットとAmazon Cloud Front のウェブディストリビューションを作成する。S3からCloudFrontを利用して、静的コンテンツを配信できる状態にする。
詳細手順は以下のドキュメントを参照する。
http://docs.aws.amazon.com/ja_jp/AmazonCloudFront/latest/DeveloperGuide/GettingStarted.html
S3に画像ファイルを配置して、CloudFrontを通して配信できるようにする。</t>
    <phoneticPr fontId="2"/>
  </si>
  <si>
    <t xml:space="preserve">Amazon S3のバケットとAmazon Cloud Front のウェブディストリビューションを作成する。S3からCloudFrontを利用して、静的コンテンツを配信できる状態にする。
詳細手順は以下のドキュメントを参照する。
http://docs.aws.amazon.com/ja_jp/AmazonCloudFront/latest/DeveloperGuide/GettingStarted.html
S3に画像ファイルを配置して、CloudFrontを通して配信できるようにする。
</t>
    <phoneticPr fontId="2"/>
  </si>
  <si>
    <t>レスポンスヘッダの「X-Cache」が「Hit from CloudFront」になっていることを確認する。</t>
    <rPh sb="49" eb="51">
      <t>カクニン</t>
    </rPh>
    <phoneticPr fontId="2"/>
  </si>
  <si>
    <t>CloudFrontから配信された画像が想定している画像と一致していることを確認する。</t>
    <rPh sb="12" eb="14">
      <t>ハイシン</t>
    </rPh>
    <rPh sb="17" eb="19">
      <t>ガゾウ</t>
    </rPh>
    <rPh sb="20" eb="22">
      <t>ソウテイ</t>
    </rPh>
    <rPh sb="26" eb="28">
      <t>ガゾウ</t>
    </rPh>
    <rPh sb="29" eb="31">
      <t>イッチ</t>
    </rPh>
    <rPh sb="38" eb="40">
      <t>カクニン</t>
    </rPh>
    <phoneticPr fontId="2"/>
  </si>
  <si>
    <t>S3に配置した画像ファイルと同じ画像ファイルがローカル上の
macchinetta-cloud-functionaltest/stcn/src/test/resources/image/
配下にあること</t>
    <rPh sb="3" eb="5">
      <t>ハイチ</t>
    </rPh>
    <rPh sb="7" eb="9">
      <t>ガゾウ</t>
    </rPh>
    <rPh sb="14" eb="15">
      <t>オナ</t>
    </rPh>
    <rPh sb="16" eb="18">
      <t>ガゾウ</t>
    </rPh>
    <rPh sb="27" eb="28">
      <t>ジョウ</t>
    </rPh>
    <rPh sb="94" eb="96">
      <t>ハイカ</t>
    </rPh>
    <phoneticPr fontId="2"/>
  </si>
  <si>
    <t>画像が表示されていることを確認する。</t>
    <rPh sb="0" eb="2">
      <t>ガゾウ</t>
    </rPh>
    <rPh sb="3" eb="5">
      <t>ヒョウジ</t>
    </rPh>
    <rPh sb="13" eb="15">
      <t>カクニン</t>
    </rPh>
    <phoneticPr fontId="2"/>
  </si>
  <si>
    <t>Selenium:○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</si>
</sst>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lt;=999]000;[&lt;=9999]000\-00;000\-00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9">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pplyAlignment="1">
      <alignment vertical="center"/>
    </xf>
    <xf numFmtId="0" fontId="6" fillId="0" borderId="0" xfId="2">
      <alignment vertical="center"/>
    </xf>
    <xf numFmtId="176" fontId="6" fillId="0" borderId="2" xfId="2" applyNumberFormat="1" applyBorder="1" applyAlignment="1">
      <alignment horizontal="center" vertical="top" wrapText="1"/>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176" fontId="6" fillId="0" borderId="3" xfId="2" applyNumberFormat="1" applyFill="1" applyBorder="1" applyAlignment="1">
      <alignment horizontal="center" vertical="top" wrapText="1"/>
    </xf>
    <xf numFmtId="49" fontId="6" fillId="0" borderId="1" xfId="2" applyNumberFormat="1" applyFill="1" applyBorder="1" applyAlignment="1">
      <alignment horizontal="left" vertical="top" wrapText="1"/>
    </xf>
    <xf numFmtId="176" fontId="6" fillId="0" borderId="4" xfId="2" applyNumberFormat="1" applyFill="1" applyBorder="1" applyAlignment="1">
      <alignment horizontal="center" vertical="top" wrapText="1"/>
    </xf>
    <xf numFmtId="0" fontId="6" fillId="0" borderId="1" xfId="2" applyNumberFormat="1" applyBorder="1" applyAlignment="1">
      <alignment horizontal="center" vertical="center"/>
    </xf>
    <xf numFmtId="176" fontId="6" fillId="4" borderId="2" xfId="2" applyNumberFormat="1" applyFill="1" applyBorder="1" applyAlignment="1">
      <alignment horizontal="center" vertical="top" wrapText="1"/>
    </xf>
    <xf numFmtId="0" fontId="6" fillId="4" borderId="1" xfId="2" applyNumberFormat="1"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0" xfId="0" applyFill="1" applyAlignment="1">
      <alignment horizontal="center" vertical="top"/>
    </xf>
    <xf numFmtId="0" fontId="0" fillId="4" borderId="3" xfId="0" applyFill="1" applyBorder="1" applyAlignment="1">
      <alignment horizontal="center" vertical="top"/>
    </xf>
    <xf numFmtId="0" fontId="5" fillId="4" borderId="3" xfId="1" applyFill="1" applyBorder="1" applyAlignment="1" applyProtection="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0" fillId="0" borderId="12" xfId="0" applyBorder="1" applyAlignment="1">
      <alignment horizontal="left" vertical="top"/>
    </xf>
    <xf numFmtId="176" fontId="6" fillId="0" borderId="4" xfId="2" applyNumberFormat="1" applyBorder="1" applyAlignment="1">
      <alignment horizontal="center" vertical="top" wrapText="1"/>
    </xf>
    <xf numFmtId="49" fontId="6" fillId="0" borderId="1" xfId="2" applyNumberFormat="1" applyBorder="1" applyAlignment="1">
      <alignment horizontal="left"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cellStyles>
  <dxfs count="71">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4"/>
  <sheetViews>
    <sheetView zoomScale="80" zoomScaleNormal="80" workbookViewId="0">
      <pane ySplit="4" topLeftCell="A5" activePane="bottomLeft" state="frozen"/>
      <selection pane="bottomLeft" activeCell="D8" sqref="D8"/>
    </sheetView>
  </sheetViews>
  <sheetFormatPr defaultRowHeight="13.5" x14ac:dyDescent="0.15"/>
  <cols>
    <col min="1" max="1" width="9.75" bestFit="1" customWidth="1"/>
    <col min="2" max="2" width="41.25" customWidth="1"/>
    <col min="3" max="3" width="13.625" customWidth="1"/>
    <col min="4" max="4" width="75" customWidth="1"/>
  </cols>
  <sheetData>
    <row r="1" spans="1:4" x14ac:dyDescent="0.15">
      <c r="A1" s="1" t="s">
        <v>0</v>
      </c>
      <c r="B1" s="2" t="s">
        <v>25</v>
      </c>
      <c r="C1" s="31" t="s">
        <v>24</v>
      </c>
    </row>
    <row r="2" spans="1:4" x14ac:dyDescent="0.15">
      <c r="A2" s="3" t="s">
        <v>1</v>
      </c>
      <c r="B2" s="2" t="s">
        <v>26</v>
      </c>
      <c r="C2" s="2"/>
    </row>
    <row r="4" spans="1:4" x14ac:dyDescent="0.15">
      <c r="A4" s="4" t="s">
        <v>2</v>
      </c>
      <c r="B4" s="4" t="s">
        <v>3</v>
      </c>
      <c r="C4" s="4" t="s">
        <v>4</v>
      </c>
      <c r="D4" s="4" t="s">
        <v>5</v>
      </c>
    </row>
    <row r="5" spans="1:4" x14ac:dyDescent="0.15">
      <c r="A5" s="26" t="s">
        <v>27</v>
      </c>
      <c r="B5" s="23" t="s">
        <v>26</v>
      </c>
      <c r="C5" s="30" t="str">
        <f>IF(B5="",($B$1&amp;TEXT(IF(B5="",COUNTA($B$5:B5),1),"00")),A5)&amp;IF(B5&lt;&gt;"",TEXT(1,"00"),TEXT(IF(A5&lt;&gt;"",1,RIGHT(C4,2)+1),"00"))</f>
        <v>STCN0101</v>
      </c>
      <c r="D5" s="5" t="s">
        <v>29</v>
      </c>
    </row>
    <row r="6" spans="1:4" x14ac:dyDescent="0.15">
      <c r="A6" s="27" t="str">
        <f>IF(B6="","",($B$1&amp;TEXT(IF(B6="","",COUNTA($B$5:B6)),"00")))</f>
        <v/>
      </c>
      <c r="B6" s="24"/>
      <c r="C6" s="30" t="str">
        <f>IF(B6="",($B$1&amp;TEXT(IF(B6="",COUNTA($B$5:B6),1),"00")),A6)&amp;IF(B6&lt;&gt;"",TEXT(1,"00"),TEXT(IF(A6&lt;&gt;"",1,RIGHT(C5,2)+1),"00"))</f>
        <v>STCN0102</v>
      </c>
      <c r="D6" s="5" t="s">
        <v>28</v>
      </c>
    </row>
    <row r="7" spans="1:4" x14ac:dyDescent="0.15">
      <c r="A7" s="27" t="str">
        <f>IF(B7="","",($B$1&amp;TEXT(IF(B7="","",COUNTA($B$5:B7)),"00")))</f>
        <v/>
      </c>
      <c r="B7" s="24"/>
      <c r="C7" s="30" t="str">
        <f>IF(B7="",($B$1&amp;TEXT(IF(B7="",COUNTA($B$5:B7),1),"00")),A7)&amp;IF(B7&lt;&gt;"",TEXT(1,"00"),TEXT(IF(A7&lt;&gt;"",1,RIGHT(C6,2)+1),"00"))</f>
        <v>STCN0103</v>
      </c>
      <c r="D7" s="5"/>
    </row>
    <row r="8" spans="1:4" x14ac:dyDescent="0.15">
      <c r="A8" s="26" t="str">
        <f>IF(B8="","",($B$1&amp;TEXT(IF(B8="","",COUNTA($B$5:B8)),"00")))</f>
        <v/>
      </c>
      <c r="B8" s="24"/>
      <c r="C8" s="30" t="str">
        <f>IF(B8="",($B$1&amp;TEXT(IF(B8="",COUNTA($B$5:B8),1),"00")),A8)&amp;IF(B8&lt;&gt;"",TEXT(1,"00"),TEXT(IF(A8&lt;&gt;"",1,RIGHT(C7,2)+1),"00"))</f>
        <v>STCN0104</v>
      </c>
      <c r="D8" s="5"/>
    </row>
    <row r="9" spans="1:4" x14ac:dyDescent="0.15">
      <c r="A9" s="27" t="str">
        <f>IF(B9="","",($B$1&amp;TEXT(IF(B9="","",COUNTA($B$5:B9)),"00")))</f>
        <v/>
      </c>
      <c r="B9" s="24"/>
      <c r="C9" s="30" t="str">
        <f>IF(B9="",($B$1&amp;TEXT(IF(B9="",COUNTA($B$5:B9),1),"00")),A9)&amp;IF(B9&lt;&gt;"",TEXT(1,"00"),TEXT(IF(A9&lt;&gt;"",1,RIGHT(C8,2)+1),"00"))</f>
        <v>STCN0105</v>
      </c>
      <c r="D9" s="5"/>
    </row>
    <row r="10" spans="1:4" x14ac:dyDescent="0.15">
      <c r="A10" s="28" t="str">
        <f>IF(B10="","",($B$1&amp;TEXT(IF(B10="","",COUNTA($B$5:B10)),"00")))</f>
        <v/>
      </c>
      <c r="B10" s="24"/>
      <c r="C10" s="30" t="str">
        <f>IF(B10="",($B$1&amp;TEXT(IF(B10="",COUNTA($B$5:B10),1),"00")),A10)&amp;IF(B10&lt;&gt;"",TEXT(1,"00"),TEXT(IF(A10&lt;&gt;"",1,RIGHT(C9,2)+1),"00"))</f>
        <v>STCN0106</v>
      </c>
      <c r="D10" s="5"/>
    </row>
    <row r="11" spans="1:4" x14ac:dyDescent="0.15">
      <c r="A11" s="27" t="str">
        <f>IF(B11="","",($B$1&amp;TEXT(IF(B11="","",COUNTA($B$5:B11)),"00")))</f>
        <v/>
      </c>
      <c r="B11" s="24"/>
      <c r="C11" s="30" t="str">
        <f>IF(B11="",($B$1&amp;TEXT(IF(B11="",COUNTA($B$5:B11),1),"00")),A11)&amp;IF(B11&lt;&gt;"",TEXT(1,"00"),TEXT(IF(A11&lt;&gt;"",1,RIGHT(C10,2)+1),"00"))</f>
        <v>STCN0107</v>
      </c>
      <c r="D11" s="5"/>
    </row>
    <row r="12" spans="1:4" x14ac:dyDescent="0.15">
      <c r="A12" s="27" t="str">
        <f>IF(B12="","",($B$1&amp;TEXT(IF(B12="","",COUNTA($B$5:B12)),"00")))</f>
        <v/>
      </c>
      <c r="B12" s="24"/>
      <c r="C12" s="30" t="str">
        <f>IF(B12="",($B$1&amp;TEXT(IF(B12="",COUNTA($B$5:B12),1),"00")),A12)&amp;IF(B12&lt;&gt;"",TEXT(1,"00"),TEXT(IF(A12&lt;&gt;"",1,RIGHT(C11,2)+1),"00"))</f>
        <v>STCN0108</v>
      </c>
      <c r="D12" s="5"/>
    </row>
    <row r="13" spans="1:4" x14ac:dyDescent="0.15">
      <c r="A13" s="28" t="str">
        <f>IF(B13="","",($B$1&amp;TEXT(IF(B13="","",COUNTA($B$5:B13)),"00")))</f>
        <v/>
      </c>
      <c r="B13" s="24"/>
      <c r="C13" s="30" t="str">
        <f>IF(B13="",($B$1&amp;TEXT(IF(B13="",COUNTA($B$5:B13),1),"00")),A13)&amp;IF(B13&lt;&gt;"",TEXT(1,"00"),TEXT(IF(A13&lt;&gt;"",1,RIGHT(C12,2)+1),"00"))</f>
        <v>STCN0109</v>
      </c>
      <c r="D13" s="5"/>
    </row>
    <row r="14" spans="1:4" x14ac:dyDescent="0.15">
      <c r="A14" s="29" t="str">
        <f>IF(B14="","",($B$1&amp;TEXT(IF(B14="","",COUNTA($B$5:B14)),"00")))</f>
        <v/>
      </c>
      <c r="B14" s="25"/>
      <c r="C14" s="30" t="str">
        <f>IF(B14="",($B$1&amp;TEXT(IF(B14="",COUNTA($B$5:B14),1),"00")),A14)&amp;IF(B14&lt;&gt;"",TEXT(1,"00"),TEXT(IF(A14&lt;&gt;"",1,RIGHT(C13,2)+1),"00"))</f>
        <v>STCN0110</v>
      </c>
      <c r="D14" s="5"/>
    </row>
  </sheetData>
  <phoneticPr fontId="2"/>
  <conditionalFormatting sqref="B5">
    <cfRule type="expression" dxfId="70" priority="40">
      <formula>B5&lt;&gt;""</formula>
    </cfRule>
  </conditionalFormatting>
  <conditionalFormatting sqref="B6">
    <cfRule type="expression" dxfId="69" priority="39">
      <formula>B6&lt;&gt;""</formula>
    </cfRule>
  </conditionalFormatting>
  <conditionalFormatting sqref="B7">
    <cfRule type="expression" dxfId="68" priority="38">
      <formula>B7&lt;&gt;""</formula>
    </cfRule>
  </conditionalFormatting>
  <conditionalFormatting sqref="B8">
    <cfRule type="expression" dxfId="67" priority="37">
      <formula>B8&lt;&gt;""</formula>
    </cfRule>
  </conditionalFormatting>
  <conditionalFormatting sqref="B9">
    <cfRule type="expression" dxfId="66" priority="36">
      <formula>B9&lt;&gt;""</formula>
    </cfRule>
  </conditionalFormatting>
  <conditionalFormatting sqref="B10">
    <cfRule type="expression" dxfId="65" priority="35">
      <formula>B10&lt;&gt;""</formula>
    </cfRule>
  </conditionalFormatting>
  <conditionalFormatting sqref="B11">
    <cfRule type="expression" dxfId="64" priority="34">
      <formula>B11&lt;&gt;""</formula>
    </cfRule>
  </conditionalFormatting>
  <conditionalFormatting sqref="B12">
    <cfRule type="expression" dxfId="63" priority="33">
      <formula>B12&lt;&gt;""</formula>
    </cfRule>
  </conditionalFormatting>
  <conditionalFormatting sqref="B13">
    <cfRule type="expression" dxfId="62" priority="32">
      <formula>B13&lt;&gt;""</formula>
    </cfRule>
  </conditionalFormatting>
  <conditionalFormatting sqref="B14">
    <cfRule type="expression" dxfId="61" priority="31">
      <formula>B14&lt;&gt;""</formula>
    </cfRule>
  </conditionalFormatting>
  <conditionalFormatting sqref="A5">
    <cfRule type="expression" dxfId="60" priority="30">
      <formula>A5&lt;&gt;""</formula>
    </cfRule>
  </conditionalFormatting>
  <conditionalFormatting sqref="A8">
    <cfRule type="expression" dxfId="59" priority="27">
      <formula>A8&lt;&gt;""</formula>
    </cfRule>
  </conditionalFormatting>
  <conditionalFormatting sqref="A9">
    <cfRule type="expression" dxfId="58" priority="26">
      <formula>A9&lt;&gt;""</formula>
    </cfRule>
  </conditionalFormatting>
  <conditionalFormatting sqref="A10">
    <cfRule type="expression" dxfId="57" priority="25">
      <formula>A10&lt;&gt;""</formula>
    </cfRule>
  </conditionalFormatting>
  <conditionalFormatting sqref="A11">
    <cfRule type="expression" dxfId="56" priority="24">
      <formula>A11&lt;&gt;""</formula>
    </cfRule>
  </conditionalFormatting>
  <conditionalFormatting sqref="A12">
    <cfRule type="expression" dxfId="55" priority="23">
      <formula>A12&lt;&gt;""</formula>
    </cfRule>
  </conditionalFormatting>
  <conditionalFormatting sqref="A13">
    <cfRule type="expression" dxfId="54" priority="22">
      <formula>A13&lt;&gt;""</formula>
    </cfRule>
  </conditionalFormatting>
  <conditionalFormatting sqref="A14">
    <cfRule type="expression" dxfId="53" priority="21">
      <formula>A14&lt;&gt;""</formula>
    </cfRule>
  </conditionalFormatting>
  <conditionalFormatting sqref="A14">
    <cfRule type="expression" dxfId="52" priority="20">
      <formula>A14&lt;&gt;""</formula>
    </cfRule>
  </conditionalFormatting>
  <conditionalFormatting sqref="A11">
    <cfRule type="expression" dxfId="51" priority="19">
      <formula>A11&lt;&gt;""</formula>
    </cfRule>
  </conditionalFormatting>
  <conditionalFormatting sqref="A12">
    <cfRule type="expression" dxfId="50" priority="18">
      <formula>A12&lt;&gt;""</formula>
    </cfRule>
  </conditionalFormatting>
  <conditionalFormatting sqref="A6">
    <cfRule type="expression" dxfId="49" priority="15">
      <formula>A6&lt;&gt;""</formula>
    </cfRule>
  </conditionalFormatting>
  <conditionalFormatting sqref="A7">
    <cfRule type="expression" dxfId="48" priority="14">
      <formula>A7&lt;&gt;""</formula>
    </cfRule>
  </conditionalFormatting>
  <conditionalFormatting sqref="A8">
    <cfRule type="expression" dxfId="47" priority="13">
      <formula>A8&lt;&gt;""</formula>
    </cfRule>
  </conditionalFormatting>
  <conditionalFormatting sqref="A9">
    <cfRule type="expression" dxfId="46" priority="12">
      <formula>A9&lt;&gt;""</formula>
    </cfRule>
  </conditionalFormatting>
  <conditionalFormatting sqref="A10">
    <cfRule type="expression" dxfId="45" priority="11">
      <formula>A10&lt;&gt;""</formula>
    </cfRule>
  </conditionalFormatting>
  <conditionalFormatting sqref="A11">
    <cfRule type="expression" dxfId="44" priority="10">
      <formula>A11&lt;&gt;""</formula>
    </cfRule>
  </conditionalFormatting>
  <conditionalFormatting sqref="A12">
    <cfRule type="expression" dxfId="43" priority="9">
      <formula>A12&lt;&gt;""</formula>
    </cfRule>
  </conditionalFormatting>
  <conditionalFormatting sqref="A13">
    <cfRule type="expression" dxfId="42" priority="8">
      <formula>A13&lt;&gt;""</formula>
    </cfRule>
  </conditionalFormatting>
  <conditionalFormatting sqref="A14">
    <cfRule type="expression" dxfId="41" priority="7">
      <formula>A14&lt;&gt;""</formula>
    </cfRule>
  </conditionalFormatting>
  <conditionalFormatting sqref="A7">
    <cfRule type="expression" dxfId="40" priority="6">
      <formula>A7&lt;&gt;""</formula>
    </cfRule>
  </conditionalFormatting>
  <conditionalFormatting sqref="A9">
    <cfRule type="expression" dxfId="39" priority="5">
      <formula>A9&lt;&gt;""</formula>
    </cfRule>
  </conditionalFormatting>
  <conditionalFormatting sqref="A11">
    <cfRule type="expression" dxfId="38" priority="4">
      <formula>A11&lt;&gt;""</formula>
    </cfRule>
  </conditionalFormatting>
  <conditionalFormatting sqref="A12">
    <cfRule type="expression" dxfId="37" priority="3">
      <formula>A12&lt;&gt;""</formula>
    </cfRule>
  </conditionalFormatting>
  <conditionalFormatting sqref="A14">
    <cfRule type="expression" dxfId="36" priority="2">
      <formula>A14&lt;&gt;""</formula>
    </cfRule>
  </conditionalFormatting>
  <conditionalFormatting sqref="A14">
    <cfRule type="expression" dxfId="35" priority="1">
      <formula>A14&lt;&gt;""</formula>
    </cfRule>
  </conditionalFormatting>
  <hyperlinks>
    <hyperlink ref="A10" location="PRPT01!A1" display="PRPT01!A1"/>
    <hyperlink ref="A13" location="PRPT01!A1" display="PRPT01!A1"/>
  </hyperlinks>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9"/>
  <sheetViews>
    <sheetView tabSelected="1" zoomScale="85" zoomScaleNormal="85" workbookViewId="0">
      <pane ySplit="8" topLeftCell="A9" activePane="bottomLeft" state="frozen"/>
      <selection pane="bottomLeft" activeCell="F9" sqref="F9"/>
    </sheetView>
  </sheetViews>
  <sheetFormatPr defaultRowHeight="13.5" x14ac:dyDescent="0.15"/>
  <cols>
    <col min="1" max="1" width="11.25" customWidth="1"/>
    <col min="2" max="2" width="8.625" customWidth="1"/>
    <col min="3" max="3" width="10.375" customWidth="1"/>
    <col min="4" max="4" width="25.125" customWidth="1"/>
    <col min="5" max="5" width="42.75" customWidth="1"/>
    <col min="6" max="7" width="41.75" customWidth="1"/>
    <col min="8" max="8" width="42" customWidth="1"/>
    <col min="9" max="9" width="16.75" customWidth="1"/>
  </cols>
  <sheetData>
    <row r="1" spans="1:10" ht="27" x14ac:dyDescent="0.15">
      <c r="A1" s="35" t="s">
        <v>6</v>
      </c>
      <c r="B1" s="36"/>
      <c r="C1" s="6" t="s">
        <v>7</v>
      </c>
      <c r="D1" s="6" t="s">
        <v>8</v>
      </c>
      <c r="E1" s="6" t="s">
        <v>9</v>
      </c>
      <c r="F1" s="6" t="s">
        <v>10</v>
      </c>
      <c r="G1" s="6" t="s">
        <v>11</v>
      </c>
      <c r="H1" s="7" t="s">
        <v>12</v>
      </c>
    </row>
    <row r="2" spans="1:10" x14ac:dyDescent="0.15">
      <c r="A2" s="37" t="s">
        <v>20</v>
      </c>
      <c r="B2" s="38"/>
      <c r="C2" s="41">
        <f>COUNTA($D$9:$D$65505)</f>
        <v>3</v>
      </c>
      <c r="D2" s="21" t="str">
        <f>大中項目!B1</f>
        <v>STCN</v>
      </c>
      <c r="E2" s="19"/>
      <c r="F2" s="9"/>
      <c r="G2" s="9"/>
      <c r="H2" s="8"/>
    </row>
    <row r="3" spans="1:10" x14ac:dyDescent="0.15">
      <c r="A3" s="39"/>
      <c r="B3" s="40"/>
      <c r="C3" s="42"/>
      <c r="D3" s="21" t="str">
        <f>大中項目!B2</f>
        <v>静的コンテンツの配信</v>
      </c>
      <c r="E3" s="19"/>
      <c r="F3" s="9"/>
      <c r="G3" s="9"/>
      <c r="H3" s="9"/>
    </row>
    <row r="4" spans="1:10" x14ac:dyDescent="0.15">
      <c r="A4" s="10"/>
      <c r="B4" s="10"/>
      <c r="C4" s="10"/>
      <c r="D4" s="10"/>
      <c r="E4" s="10"/>
      <c r="F4" s="10"/>
      <c r="G4" s="10"/>
      <c r="H4" s="10"/>
      <c r="I4" s="10"/>
    </row>
    <row r="5" spans="1:10" x14ac:dyDescent="0.15">
      <c r="A5" s="43" t="s">
        <v>13</v>
      </c>
      <c r="B5" s="44"/>
      <c r="C5" s="44"/>
      <c r="D5" s="44"/>
      <c r="E5" s="44"/>
      <c r="F5" s="44"/>
      <c r="G5" s="44"/>
      <c r="H5" s="44"/>
      <c r="I5" s="45"/>
    </row>
    <row r="6" spans="1:10" ht="42" customHeight="1" x14ac:dyDescent="0.15">
      <c r="A6" s="46" t="s">
        <v>14</v>
      </c>
      <c r="B6" s="47"/>
      <c r="C6" s="47"/>
      <c r="D6" s="47"/>
      <c r="E6" s="47"/>
      <c r="F6" s="47"/>
      <c r="G6" s="47"/>
      <c r="H6" s="47"/>
      <c r="I6" s="48"/>
    </row>
    <row r="7" spans="1:10" x14ac:dyDescent="0.15">
      <c r="A7" s="11"/>
      <c r="B7" s="11"/>
      <c r="C7" s="11"/>
      <c r="D7" s="11"/>
      <c r="E7" s="11"/>
      <c r="F7" s="11"/>
      <c r="G7" s="11"/>
      <c r="H7" s="11"/>
      <c r="I7" s="11"/>
    </row>
    <row r="8" spans="1:10" ht="27" x14ac:dyDescent="0.15">
      <c r="A8" s="6" t="s">
        <v>4</v>
      </c>
      <c r="B8" s="7" t="s">
        <v>21</v>
      </c>
      <c r="C8" s="6" t="s">
        <v>15</v>
      </c>
      <c r="D8" s="6" t="s">
        <v>16</v>
      </c>
      <c r="E8" s="6" t="s">
        <v>17</v>
      </c>
      <c r="F8" s="7" t="s">
        <v>22</v>
      </c>
      <c r="G8" s="7" t="s">
        <v>23</v>
      </c>
      <c r="H8" s="6" t="s">
        <v>18</v>
      </c>
      <c r="I8" s="6" t="s">
        <v>19</v>
      </c>
    </row>
    <row r="9" spans="1:10" ht="148.5" x14ac:dyDescent="0.15">
      <c r="A9" s="12" t="s">
        <v>30</v>
      </c>
      <c r="B9" s="20">
        <f t="shared" ref="B9:B19" ca="1" si="0">IF(A9&lt;&gt;"",1,INDIRECT(ADDRESS(ROW(B9)-1,COLUMN(B9),4))+1)</f>
        <v>1</v>
      </c>
      <c r="C9" s="13" t="s">
        <v>31</v>
      </c>
      <c r="D9" s="14" t="s">
        <v>32</v>
      </c>
      <c r="E9" s="34" t="s">
        <v>37</v>
      </c>
      <c r="F9" s="34" t="s">
        <v>38</v>
      </c>
      <c r="G9" s="14"/>
      <c r="H9" s="14" t="s">
        <v>44</v>
      </c>
      <c r="I9" s="15" t="s">
        <v>45</v>
      </c>
      <c r="J9" s="32"/>
    </row>
    <row r="10" spans="1:10" ht="171.6" customHeight="1" x14ac:dyDescent="0.15">
      <c r="A10" s="33"/>
      <c r="B10" s="20">
        <f ca="1">IF(A10&lt;&gt;"",1,INDIRECT(ADDRESS(ROW(B10)-1,COLUMN(B10),4))+1)</f>
        <v>2</v>
      </c>
      <c r="C10" s="13" t="s">
        <v>31</v>
      </c>
      <c r="D10" s="17" t="s">
        <v>35</v>
      </c>
      <c r="E10" s="34" t="s">
        <v>37</v>
      </c>
      <c r="F10" s="34" t="s">
        <v>39</v>
      </c>
      <c r="G10" s="17" t="s">
        <v>43</v>
      </c>
      <c r="H10" s="17" t="s">
        <v>42</v>
      </c>
      <c r="I10" s="15" t="s">
        <v>36</v>
      </c>
      <c r="J10" s="32"/>
    </row>
    <row r="11" spans="1:10" ht="148.5" x14ac:dyDescent="0.15">
      <c r="A11" s="12" t="s">
        <v>33</v>
      </c>
      <c r="B11" s="20">
        <f ca="1">IF(A11&lt;&gt;"",1,INDIRECT(ADDRESS(ROW(B11)-1,COLUMN(B11),4))+1)</f>
        <v>1</v>
      </c>
      <c r="C11" s="13" t="s">
        <v>31</v>
      </c>
      <c r="D11" s="17" t="s">
        <v>34</v>
      </c>
      <c r="E11" s="34" t="s">
        <v>37</v>
      </c>
      <c r="F11" s="34" t="s">
        <v>40</v>
      </c>
      <c r="G11" s="17"/>
      <c r="H11" s="17" t="s">
        <v>41</v>
      </c>
      <c r="I11" s="15" t="s">
        <v>36</v>
      </c>
      <c r="J11" s="32"/>
    </row>
    <row r="12" spans="1:10" x14ac:dyDescent="0.15">
      <c r="A12" s="16"/>
      <c r="B12" s="20">
        <f t="shared" ca="1" si="0"/>
        <v>2</v>
      </c>
      <c r="C12" s="13"/>
      <c r="D12" s="17"/>
      <c r="E12" s="17"/>
      <c r="F12" s="17"/>
      <c r="G12" s="17"/>
      <c r="H12" s="17"/>
      <c r="I12" s="15"/>
      <c r="J12" s="32"/>
    </row>
    <row r="13" spans="1:10" x14ac:dyDescent="0.15">
      <c r="A13" s="16"/>
      <c r="B13" s="20">
        <f t="shared" ca="1" si="0"/>
        <v>3</v>
      </c>
      <c r="C13" s="13"/>
      <c r="D13" s="17"/>
      <c r="E13" s="17"/>
      <c r="F13" s="17"/>
      <c r="G13" s="17"/>
      <c r="H13" s="17"/>
      <c r="I13" s="15"/>
      <c r="J13" s="32"/>
    </row>
    <row r="14" spans="1:10" x14ac:dyDescent="0.15">
      <c r="A14" s="16"/>
      <c r="B14" s="20">
        <f t="shared" ca="1" si="0"/>
        <v>4</v>
      </c>
      <c r="C14" s="13"/>
      <c r="D14" s="17"/>
      <c r="E14" s="17"/>
      <c r="F14" s="17"/>
      <c r="G14" s="17"/>
      <c r="H14" s="17"/>
      <c r="I14" s="15"/>
      <c r="J14" s="32"/>
    </row>
    <row r="15" spans="1:10" x14ac:dyDescent="0.15">
      <c r="A15" s="16"/>
      <c r="B15" s="20">
        <f t="shared" ca="1" si="0"/>
        <v>5</v>
      </c>
      <c r="C15" s="13"/>
      <c r="D15" s="17"/>
      <c r="E15" s="17"/>
      <c r="F15" s="17"/>
      <c r="G15" s="17"/>
      <c r="H15" s="17"/>
      <c r="I15" s="15"/>
      <c r="J15" s="32"/>
    </row>
    <row r="16" spans="1:10" x14ac:dyDescent="0.15">
      <c r="A16" s="16"/>
      <c r="B16" s="20">
        <f t="shared" ca="1" si="0"/>
        <v>6</v>
      </c>
      <c r="C16" s="13"/>
      <c r="D16" s="17"/>
      <c r="E16" s="17"/>
      <c r="F16" s="17"/>
      <c r="G16" s="17"/>
      <c r="H16" s="17"/>
      <c r="I16" s="15"/>
      <c r="J16" s="32"/>
    </row>
    <row r="17" spans="1:10" x14ac:dyDescent="0.15">
      <c r="A17" s="16"/>
      <c r="B17" s="20">
        <f t="shared" ca="1" si="0"/>
        <v>7</v>
      </c>
      <c r="C17" s="13"/>
      <c r="D17" s="17"/>
      <c r="E17" s="17"/>
      <c r="F17" s="17"/>
      <c r="G17" s="17"/>
      <c r="H17" s="17"/>
      <c r="I17" s="15"/>
      <c r="J17" s="32"/>
    </row>
    <row r="18" spans="1:10" x14ac:dyDescent="0.15">
      <c r="A18" s="16"/>
      <c r="B18" s="20">
        <f t="shared" ca="1" si="0"/>
        <v>8</v>
      </c>
      <c r="C18" s="13"/>
      <c r="D18" s="17"/>
      <c r="E18" s="17"/>
      <c r="F18" s="17"/>
      <c r="G18" s="17"/>
      <c r="H18" s="17"/>
      <c r="I18" s="15"/>
      <c r="J18" s="32"/>
    </row>
    <row r="19" spans="1:10" x14ac:dyDescent="0.15">
      <c r="A19" s="18"/>
      <c r="B19" s="22">
        <f t="shared" ca="1" si="0"/>
        <v>9</v>
      </c>
      <c r="C19" s="13"/>
      <c r="D19" s="17"/>
      <c r="E19" s="17"/>
      <c r="F19" s="17"/>
      <c r="G19" s="17"/>
      <c r="H19" s="17"/>
      <c r="I19" s="15"/>
      <c r="J19" s="32"/>
    </row>
  </sheetData>
  <mergeCells count="5">
    <mergeCell ref="A1:B1"/>
    <mergeCell ref="A2:B3"/>
    <mergeCell ref="C2:C3"/>
    <mergeCell ref="A5:I5"/>
    <mergeCell ref="A6:I6"/>
  </mergeCells>
  <phoneticPr fontId="2"/>
  <conditionalFormatting sqref="A12:B19 B9:B11">
    <cfRule type="expression" dxfId="34" priority="106">
      <formula>A9&lt;&gt;""</formula>
    </cfRule>
  </conditionalFormatting>
  <conditionalFormatting sqref="B9:B19">
    <cfRule type="expression" dxfId="33" priority="34">
      <formula>B9&lt;&gt;""</formula>
    </cfRule>
  </conditionalFormatting>
  <conditionalFormatting sqref="B9">
    <cfRule type="expression" dxfId="32" priority="33">
      <formula>B9&lt;&gt;""</formula>
    </cfRule>
  </conditionalFormatting>
  <conditionalFormatting sqref="B9">
    <cfRule type="expression" dxfId="31" priority="32">
      <formula>B9&lt;&gt;""</formula>
    </cfRule>
  </conditionalFormatting>
  <conditionalFormatting sqref="B9">
    <cfRule type="expression" dxfId="30" priority="31">
      <formula>B9&lt;&gt;""</formula>
    </cfRule>
  </conditionalFormatting>
  <conditionalFormatting sqref="B10">
    <cfRule type="expression" dxfId="29" priority="30">
      <formula>B10&lt;&gt;""</formula>
    </cfRule>
  </conditionalFormatting>
  <conditionalFormatting sqref="B10">
    <cfRule type="expression" dxfId="28" priority="29">
      <formula>B10&lt;&gt;""</formula>
    </cfRule>
  </conditionalFormatting>
  <conditionalFormatting sqref="B10">
    <cfRule type="expression" dxfId="27" priority="28">
      <formula>B10&lt;&gt;""</formula>
    </cfRule>
  </conditionalFormatting>
  <conditionalFormatting sqref="B11">
    <cfRule type="expression" dxfId="26" priority="27">
      <formula>B11&lt;&gt;""</formula>
    </cfRule>
  </conditionalFormatting>
  <conditionalFormatting sqref="B11">
    <cfRule type="expression" dxfId="25" priority="26">
      <formula>B11&lt;&gt;""</formula>
    </cfRule>
  </conditionalFormatting>
  <conditionalFormatting sqref="B11">
    <cfRule type="expression" dxfId="24" priority="25">
      <formula>B11&lt;&gt;""</formula>
    </cfRule>
  </conditionalFormatting>
  <conditionalFormatting sqref="B12">
    <cfRule type="expression" dxfId="23" priority="24">
      <formula>B12&lt;&gt;""</formula>
    </cfRule>
  </conditionalFormatting>
  <conditionalFormatting sqref="B12">
    <cfRule type="expression" dxfId="22" priority="23">
      <formula>B12&lt;&gt;""</formula>
    </cfRule>
  </conditionalFormatting>
  <conditionalFormatting sqref="B12">
    <cfRule type="expression" dxfId="21" priority="22">
      <formula>B12&lt;&gt;""</formula>
    </cfRule>
  </conditionalFormatting>
  <conditionalFormatting sqref="B13">
    <cfRule type="expression" dxfId="20" priority="21">
      <formula>B13&lt;&gt;""</formula>
    </cfRule>
  </conditionalFormatting>
  <conditionalFormatting sqref="B13">
    <cfRule type="expression" dxfId="19" priority="20">
      <formula>B13&lt;&gt;""</formula>
    </cfRule>
  </conditionalFormatting>
  <conditionalFormatting sqref="B13">
    <cfRule type="expression" dxfId="18" priority="19">
      <formula>B13&lt;&gt;""</formula>
    </cfRule>
  </conditionalFormatting>
  <conditionalFormatting sqref="B14">
    <cfRule type="expression" dxfId="17" priority="18">
      <formula>B14&lt;&gt;""</formula>
    </cfRule>
  </conditionalFormatting>
  <conditionalFormatting sqref="B14">
    <cfRule type="expression" dxfId="16" priority="17">
      <formula>B14&lt;&gt;""</formula>
    </cfRule>
  </conditionalFormatting>
  <conditionalFormatting sqref="B14">
    <cfRule type="expression" dxfId="15" priority="16">
      <formula>B14&lt;&gt;""</formula>
    </cfRule>
  </conditionalFormatting>
  <conditionalFormatting sqref="B15">
    <cfRule type="expression" dxfId="14" priority="15">
      <formula>B15&lt;&gt;""</formula>
    </cfRule>
  </conditionalFormatting>
  <conditionalFormatting sqref="B15">
    <cfRule type="expression" dxfId="13" priority="14">
      <formula>B15&lt;&gt;""</formula>
    </cfRule>
  </conditionalFormatting>
  <conditionalFormatting sqref="B15">
    <cfRule type="expression" dxfId="12" priority="13">
      <formula>B15&lt;&gt;""</formula>
    </cfRule>
  </conditionalFormatting>
  <conditionalFormatting sqref="B16">
    <cfRule type="expression" dxfId="11" priority="12">
      <formula>B16&lt;&gt;""</formula>
    </cfRule>
  </conditionalFormatting>
  <conditionalFormatting sqref="B16">
    <cfRule type="expression" dxfId="10" priority="11">
      <formula>B16&lt;&gt;""</formula>
    </cfRule>
  </conditionalFormatting>
  <conditionalFormatting sqref="B16">
    <cfRule type="expression" dxfId="9" priority="10">
      <formula>B16&lt;&gt;""</formula>
    </cfRule>
  </conditionalFormatting>
  <conditionalFormatting sqref="B17">
    <cfRule type="expression" dxfId="8" priority="9">
      <formula>B17&lt;&gt;""</formula>
    </cfRule>
  </conditionalFormatting>
  <conditionalFormatting sqref="B17">
    <cfRule type="expression" dxfId="7" priority="8">
      <formula>B17&lt;&gt;""</formula>
    </cfRule>
  </conditionalFormatting>
  <conditionalFormatting sqref="B17">
    <cfRule type="expression" dxfId="6" priority="7">
      <formula>B17&lt;&gt;""</formula>
    </cfRule>
  </conditionalFormatting>
  <conditionalFormatting sqref="B18">
    <cfRule type="expression" dxfId="5" priority="6">
      <formula>B18&lt;&gt;""</formula>
    </cfRule>
  </conditionalFormatting>
  <conditionalFormatting sqref="B18">
    <cfRule type="expression" dxfId="4" priority="5">
      <formula>B18&lt;&gt;""</formula>
    </cfRule>
  </conditionalFormatting>
  <conditionalFormatting sqref="B18">
    <cfRule type="expression" dxfId="3" priority="4">
      <formula>B18&lt;&gt;""</formula>
    </cfRule>
  </conditionalFormatting>
  <conditionalFormatting sqref="B19">
    <cfRule type="expression" dxfId="2" priority="3">
      <formula>B19&lt;&gt;""</formula>
    </cfRule>
  </conditionalFormatting>
  <conditionalFormatting sqref="B19">
    <cfRule type="expression" dxfId="1" priority="2">
      <formula>B19&lt;&gt;""</formula>
    </cfRule>
  </conditionalFormatting>
  <conditionalFormatting sqref="B19">
    <cfRule type="expression" dxfId="0" priority="1">
      <formula>B19&lt;&gt;""</formula>
    </cfRule>
  </conditionalFormatting>
  <dataValidations count="2">
    <dataValidation type="list" allowBlank="1" showInputMessage="1" showErrorMessage="1" sqref="I9:I19">
      <formula1>"Selenium:○,Seleniumu:△,Selenium:×,JUnit:○,JUnit:△,Junit:×,手動実行,机上"</formula1>
    </dataValidation>
    <dataValidation type="list" allowBlank="1" showInputMessage="1" showErrorMessage="1" sqref="C9:C19">
      <formula1>"正常,クライアントエラー,サーバーエラー"</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大中項目</vt:lpstr>
      <vt:lpstr>STCN01</vt:lpstr>
      <vt:lpstr>STCN01!Print_Titles</vt:lpstr>
      <vt:lpstr>大中項目!Print_Titles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btishiwatasns</dc:creator>
  <cp:lastModifiedBy>btnishizawasga</cp:lastModifiedBy>
  <cp:lastPrinted>2013-11-12T01:02:24Z</cp:lastPrinted>
  <dcterms:created xsi:type="dcterms:W3CDTF">2013-11-07T11:05:46Z</dcterms:created>
  <dcterms:modified xsi:type="dcterms:W3CDTF">2017-11-29T09:08:55Z</dcterms:modified>
</cp:coreProperties>
</file>