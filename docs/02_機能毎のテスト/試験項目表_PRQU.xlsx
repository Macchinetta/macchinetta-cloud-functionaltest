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afwXXXX\Documents\macchinetta-cloud-functionaltest\docs\02_機能毎のテスト\"/>
    </mc:Choice>
  </mc:AlternateContent>
  <bookViews>
    <workbookView xWindow="0" yWindow="0" windowWidth="21360" windowHeight="9420"/>
  </bookViews>
  <sheets>
    <sheet name="大中項目" sheetId="1" r:id="rId1"/>
    <sheet name="PRQU01" sheetId="6" r:id="rId2"/>
  </sheets>
  <definedNames>
    <definedName name="_xlnm.Print_Titles" localSheetId="1">PRQU01!$1:$8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E2" i="6" l="1"/>
  <c r="D3" i="6" l="1"/>
  <c r="D2" i="6"/>
  <c r="A14" i="1"/>
  <c r="A12" i="1"/>
  <c r="A11" i="1"/>
  <c r="A9" i="1"/>
  <c r="A7" i="1"/>
  <c r="A13" i="1"/>
  <c r="A10" i="1"/>
  <c r="A8" i="1"/>
  <c r="A6" i="1"/>
  <c r="A5" i="1"/>
  <c r="B9" i="6"/>
  <c r="C5" i="1" l="1"/>
  <c r="B10" i="6"/>
  <c r="C6" i="1" l="1"/>
  <c r="B11" i="6"/>
  <c r="C7" i="1" l="1"/>
  <c r="B12" i="6"/>
  <c r="C8" i="1" l="1"/>
  <c r="C2" i="6"/>
  <c r="B13" i="6"/>
  <c r="C9" i="1" l="1"/>
  <c r="B14" i="6"/>
  <c r="C10" i="1" l="1"/>
  <c r="B15" i="6"/>
  <c r="C11" i="1" l="1"/>
  <c r="B16" i="6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<sst xmlns="http://schemas.openxmlformats.org/spreadsheetml/2006/main" count="46" uniqueCount="41">
  <si>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</si>
  <si>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</si>
  <si>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</si>
  <si>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</si>
  <si>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</si>
  <si>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</si>
  <si>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</si>
  <si>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</si>
  <si>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</si>
  <si>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</si>
  <si>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</si>
  <si>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</si>
  <si>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</si>
  <si>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</si>
  <si>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</si>
  <si>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</si>
  <si>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</si>
  <si>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</si>
  <si>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</si>
  <si>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</si>
  <si>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</si>
  <si>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</si>
  <si>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</si>
  <si>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</si>
  <si>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</si>
  <si>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PRQU</t>
    <phoneticPr fontId="2"/>
  </si>
  <si>
    <t>キューイング活用(優先順位)</t>
    <rPh sb="6" eb="8">
      <t>カツヨウ</t>
    </rPh>
    <rPh sb="9" eb="11">
      <t>ユウセン</t>
    </rPh>
    <rPh sb="11" eb="13">
      <t>ジュンイ</t>
    </rPh>
    <phoneticPr fontId="2"/>
  </si>
  <si>
    <t>優先順位の実装</t>
    <rPh sb="0" eb="2">
      <t>ユウセン</t>
    </rPh>
    <rPh sb="2" eb="4">
      <t>ジュンイ</t>
    </rPh>
    <rPh sb="5" eb="7">
      <t>ジッソウ</t>
    </rPh>
    <phoneticPr fontId="2"/>
  </si>
  <si>
    <t>優先順位付けされたキューに送信を振り分けて、各リスナで受信して処理できることを確認する。</t>
    <rPh sb="0" eb="2">
      <t>ユウセン</t>
    </rPh>
    <rPh sb="2" eb="4">
      <t>ジュンイ</t>
    </rPh>
    <rPh sb="4" eb="5">
      <t>ヅ</t>
    </rPh>
    <rPh sb="13" eb="15">
      <t>ソウシン</t>
    </rPh>
    <rPh sb="16" eb="17">
      <t>フ</t>
    </rPh>
    <rPh sb="18" eb="19">
      <t>ワ</t>
    </rPh>
    <rPh sb="22" eb="23">
      <t>カク</t>
    </rPh>
    <rPh sb="27" eb="29">
      <t>ジュシン</t>
    </rPh>
    <rPh sb="31" eb="33">
      <t>ショリ</t>
    </rPh>
    <rPh sb="39" eb="41">
      <t>カクニン</t>
    </rPh>
    <phoneticPr fontId="2"/>
  </si>
  <si>
    <t>正常</t>
  </si>
  <si>
    <t>PRQU0101</t>
    <phoneticPr fontId="2"/>
  </si>
  <si>
    <t xml:space="preserve">優先度に応じたキューを用意する。
</t>
    <rPh sb="0" eb="3">
      <t>ユウセンド</t>
    </rPh>
    <rPh sb="4" eb="5">
      <t>オウ</t>
    </rPh>
    <rPh sb="11" eb="13">
      <t>ヨウイ</t>
    </rPh>
    <phoneticPr fontId="2"/>
  </si>
  <si>
    <t>・優先度高のキューと優先度低のキューを用意し、優先度低のキューに10秒の遅延設定を行う。
・ユーザ情報にプレミアム会員と通常会員のフラグを設ける。</t>
    <rPh sb="1" eb="4">
      <t>ユウセンド</t>
    </rPh>
    <rPh sb="4" eb="5">
      <t>コウ</t>
    </rPh>
    <rPh sb="10" eb="13">
      <t>ユウセンド</t>
    </rPh>
    <rPh sb="13" eb="14">
      <t>テイ</t>
    </rPh>
    <rPh sb="19" eb="21">
      <t>ヨウイ</t>
    </rPh>
    <rPh sb="49" eb="51">
      <t>ジョウホウ</t>
    </rPh>
    <rPh sb="57" eb="59">
      <t>カイイン</t>
    </rPh>
    <rPh sb="60" eb="62">
      <t>ツウジョウ</t>
    </rPh>
    <rPh sb="62" eb="64">
      <t>カイイン</t>
    </rPh>
    <rPh sb="69" eb="70">
      <t>モウ</t>
    </rPh>
    <phoneticPr fontId="2"/>
  </si>
  <si>
    <t>プレミアムユーザでログインすることで、優先度高のキューにメッセージ送信して、、優先度高のキューのより受信を行い遅延なく処理されることを確認する。</t>
    <rPh sb="19" eb="22">
      <t>ユウセンド</t>
    </rPh>
    <rPh sb="22" eb="23">
      <t>コウ</t>
    </rPh>
    <rPh sb="33" eb="35">
      <t>ソウシン</t>
    </rPh>
    <rPh sb="39" eb="43">
      <t>ユウセンドコウ</t>
    </rPh>
    <rPh sb="50" eb="52">
      <t>ジュシン</t>
    </rPh>
    <rPh sb="53" eb="54">
      <t>オコナ</t>
    </rPh>
    <rPh sb="55" eb="57">
      <t>チエン</t>
    </rPh>
    <rPh sb="59" eb="61">
      <t>ショリ</t>
    </rPh>
    <rPh sb="67" eb="69">
      <t>カクニン</t>
    </rPh>
    <phoneticPr fontId="2"/>
  </si>
  <si>
    <t>プレミアムユーザでログインする。
・userId = 0000000001
・password = aaaaa11111</t>
    <phoneticPr fontId="2"/>
  </si>
  <si>
    <t>Selenium:○</t>
  </si>
  <si>
    <t>通常ユーザでログインすることで、優先度低のキューにメッセージ送信して、、優先度高のキューのより受信を行い遅延なく処理されることを確認する。</t>
    <rPh sb="0" eb="2">
      <t>ツウジョウ</t>
    </rPh>
    <rPh sb="16" eb="19">
      <t>ユウセンド</t>
    </rPh>
    <rPh sb="19" eb="20">
      <t>テイ</t>
    </rPh>
    <rPh sb="30" eb="32">
      <t>ソウシン</t>
    </rPh>
    <rPh sb="36" eb="40">
      <t>ユウセンドコウ</t>
    </rPh>
    <rPh sb="47" eb="49">
      <t>ジュシン</t>
    </rPh>
    <rPh sb="50" eb="51">
      <t>オコナ</t>
    </rPh>
    <rPh sb="52" eb="54">
      <t>チエン</t>
    </rPh>
    <rPh sb="56" eb="58">
      <t>ショリ</t>
    </rPh>
    <rPh sb="64" eb="66">
      <t>カクニン</t>
    </rPh>
    <phoneticPr fontId="2"/>
  </si>
  <si>
    <t>通常ユーザでログインする。
・userId = 0000000002
・password = aaaaa11111</t>
    <rPh sb="0" eb="2">
      <t>ツウジョウ</t>
    </rPh>
    <phoneticPr fontId="2"/>
  </si>
  <si>
    <t>メッセージの処理時間が遅延されて実施されることを確認する。
・メッセージの処理時間は、優先度低の遅延キューに設定した10秒以上で終わることを確認する。
・対象の値はmessage Process timeに表示される。</t>
    <rPh sb="6" eb="8">
      <t>ショリ</t>
    </rPh>
    <rPh sb="8" eb="10">
      <t>ジカン</t>
    </rPh>
    <rPh sb="11" eb="13">
      <t>チエン</t>
    </rPh>
    <rPh sb="16" eb="18">
      <t>ジッシ</t>
    </rPh>
    <rPh sb="24" eb="26">
      <t>カクニン</t>
    </rPh>
    <rPh sb="37" eb="39">
      <t>ショリ</t>
    </rPh>
    <rPh sb="39" eb="41">
      <t>ジカン</t>
    </rPh>
    <rPh sb="43" eb="46">
      <t>ユウセンド</t>
    </rPh>
    <rPh sb="46" eb="47">
      <t>テイ</t>
    </rPh>
    <rPh sb="48" eb="50">
      <t>チエン</t>
    </rPh>
    <rPh sb="54" eb="56">
      <t>セッテイ</t>
    </rPh>
    <rPh sb="60" eb="61">
      <t>ビョウ</t>
    </rPh>
    <rPh sb="61" eb="63">
      <t>イジョウ</t>
    </rPh>
    <rPh sb="64" eb="65">
      <t>オ</t>
    </rPh>
    <rPh sb="70" eb="72">
      <t>カクニン</t>
    </rPh>
    <rPh sb="77" eb="79">
      <t>タイショウ</t>
    </rPh>
    <rPh sb="80" eb="81">
      <t>アタイ</t>
    </rPh>
    <rPh sb="103" eb="105">
      <t>ヒョウジ</t>
    </rPh>
    <phoneticPr fontId="2"/>
  </si>
  <si>
    <t>メッセージの処理時間が遅延無く実施されることを確認する。
・メッセージの処理時間は、優先度低の遅延キューに設定した10秒未満で終わることを確認する。
・対象の値はmessage Process timeに表示される。</t>
    <rPh sb="6" eb="8">
      <t>ショリ</t>
    </rPh>
    <rPh sb="8" eb="10">
      <t>ジカン</t>
    </rPh>
    <rPh sb="11" eb="13">
      <t>チエン</t>
    </rPh>
    <rPh sb="13" eb="14">
      <t>ナ</t>
    </rPh>
    <rPh sb="15" eb="17">
      <t>ジッシ</t>
    </rPh>
    <rPh sb="23" eb="25">
      <t>カクニン</t>
    </rPh>
    <rPh sb="36" eb="38">
      <t>ショリ</t>
    </rPh>
    <rPh sb="38" eb="40">
      <t>ジカン</t>
    </rPh>
    <rPh sb="42" eb="45">
      <t>ユウセンド</t>
    </rPh>
    <rPh sb="45" eb="46">
      <t>テイ</t>
    </rPh>
    <rPh sb="47" eb="49">
      <t>チエン</t>
    </rPh>
    <rPh sb="53" eb="55">
      <t>セッテイ</t>
    </rPh>
    <rPh sb="59" eb="60">
      <t>ビョウ</t>
    </rPh>
    <rPh sb="60" eb="62">
      <t>ミマン</t>
    </rPh>
    <rPh sb="63" eb="64">
      <t>オ</t>
    </rPh>
    <rPh sb="69" eb="71">
      <t>カクニン</t>
    </rPh>
    <rPh sb="76" eb="78">
      <t>タイショウ</t>
    </rPh>
    <rPh sb="79" eb="80">
      <t>アタイ</t>
    </rPh>
    <rPh sb="102" eb="104">
      <t>ヒョウジ</t>
    </rPh>
    <phoneticPr fontId="2"/>
  </si>
  <si>
    <t>末光　裕二</t>
    <rPh sb="0" eb="2">
      <t>スエミツ</t>
    </rPh>
    <rPh sb="3" eb="5">
      <t>ユウジ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</si>
</sst>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7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abSelected="1" zoomScaleNormal="100" workbookViewId="0">
      <pane ySplit="4" topLeftCell="A5" activePane="bottomLeft" state="frozen"/>
      <selection pane="bottomLeft" activeCell="D21" sqref="D21"/>
    </sheetView>
  </sheetViews>
  <sheetFormatPr defaultRowHeight="13.2" x14ac:dyDescent="0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 x14ac:dyDescent="0.2">
      <c r="A1" s="1" t="s">
        <v>0</v>
      </c>
      <c r="B1" s="2" t="s">
        <v>25</v>
      </c>
      <c r="C1" s="31" t="s">
        <v>24</v>
      </c>
    </row>
    <row r="2" spans="1:4" x14ac:dyDescent="0.2">
      <c r="A2" s="3" t="s">
        <v>1</v>
      </c>
      <c r="B2" s="2" t="s">
        <v>26</v>
      </c>
      <c r="C2" s="2">
        <v>2</v>
      </c>
    </row>
    <row r="4" spans="1:4" x14ac:dyDescent="0.2">
      <c r="A4" s="4" t="s">
        <v>2</v>
      </c>
      <c r="B4" s="4" t="s">
        <v>3</v>
      </c>
      <c r="C4" s="4" t="s">
        <v>4</v>
      </c>
      <c r="D4" s="4" t="s">
        <v>5</v>
      </c>
    </row>
    <row r="5" spans="1:4" ht="26.4" x14ac:dyDescent="0.2">
      <c r="A5" s="26" t="str">
        <f>IF(B5="","",($B$1&amp;TEXT(IF(B5="","",COUNTA($B$5:B5)),"00")))</f>
        <v>PRQU01</v>
      </c>
      <c r="B5" s="23" t="s">
        <v>27</v>
      </c>
      <c r="C5" s="30" t="str">
        <f>IF(B5="",($B$1&amp;TEXT(IF(B5="",COUNTA($B$5:B5),1),"00")),A5)&amp;IF(B5&lt;&gt;"",TEXT(1,"00"),TEXT(IF(A5&lt;&gt;"",1,RIGHT(C4,2)+1),"00"))</f>
        <v>PRQU0101</v>
      </c>
      <c r="D5" s="5" t="s">
        <v>28</v>
      </c>
    </row>
    <row r="6" spans="1:4" x14ac:dyDescent="0.2">
      <c r="A6" s="27" t="str">
        <f>IF(B6="","",($B$1&amp;TEXT(IF(B6="","",COUNTA($B$5:B6)),"00")))</f>
        <v/>
      </c>
      <c r="B6" s="24"/>
      <c r="C6" s="30" t="str">
        <f>IF(B6="",($B$1&amp;TEXT(IF(B6="",COUNTA($B$5:B6),1),"00")),A6)&amp;IF(B6&lt;&gt;"",TEXT(1,"00"),TEXT(IF(A6&lt;&gt;"",1,RIGHT(C5,2)+1),"00"))</f>
        <v>PRQU0102</v>
      </c>
      <c r="D6" s="5"/>
    </row>
    <row r="7" spans="1:4" x14ac:dyDescent="0.2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PRQU0103</v>
      </c>
      <c r="D7" s="5"/>
    </row>
    <row r="8" spans="1:4" x14ac:dyDescent="0.2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PRQU0104</v>
      </c>
      <c r="D8" s="5"/>
    </row>
    <row r="9" spans="1:4" x14ac:dyDescent="0.2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PRQU0105</v>
      </c>
      <c r="D9" s="5"/>
    </row>
    <row r="10" spans="1:4" x14ac:dyDescent="0.2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PRQU0106</v>
      </c>
      <c r="D10" s="5"/>
    </row>
    <row r="11" spans="1:4" x14ac:dyDescent="0.2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PRQU0107</v>
      </c>
      <c r="D11" s="5"/>
    </row>
    <row r="12" spans="1:4" x14ac:dyDescent="0.2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PRQU0108</v>
      </c>
      <c r="D12" s="5"/>
    </row>
    <row r="13" spans="1:4" x14ac:dyDescent="0.2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PRQU0109</v>
      </c>
      <c r="D13" s="5"/>
    </row>
    <row r="14" spans="1:4" x14ac:dyDescent="0.2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PRQU0110</v>
      </c>
      <c r="D14" s="5"/>
    </row>
  </sheetData>
  <phoneticPr fontId="2"/>
  <conditionalFormatting sqref="B5">
    <cfRule type="expression" dxfId="70" priority="40">
      <formula>B5&lt;&gt;""</formula>
    </cfRule>
  </conditionalFormatting>
  <conditionalFormatting sqref="B6">
    <cfRule type="expression" dxfId="69" priority="39">
      <formula>B6&lt;&gt;""</formula>
    </cfRule>
  </conditionalFormatting>
  <conditionalFormatting sqref="B7">
    <cfRule type="expression" dxfId="68" priority="38">
      <formula>B7&lt;&gt;""</formula>
    </cfRule>
  </conditionalFormatting>
  <conditionalFormatting sqref="B8">
    <cfRule type="expression" dxfId="67" priority="37">
      <formula>B8&lt;&gt;""</formula>
    </cfRule>
  </conditionalFormatting>
  <conditionalFormatting sqref="B9">
    <cfRule type="expression" dxfId="66" priority="36">
      <formula>B9&lt;&gt;""</formula>
    </cfRule>
  </conditionalFormatting>
  <conditionalFormatting sqref="B10">
    <cfRule type="expression" dxfId="65" priority="35">
      <formula>B10&lt;&gt;""</formula>
    </cfRule>
  </conditionalFormatting>
  <conditionalFormatting sqref="B11">
    <cfRule type="expression" dxfId="64" priority="34">
      <formula>B11&lt;&gt;""</formula>
    </cfRule>
  </conditionalFormatting>
  <conditionalFormatting sqref="B12">
    <cfRule type="expression" dxfId="63" priority="33">
      <formula>B12&lt;&gt;""</formula>
    </cfRule>
  </conditionalFormatting>
  <conditionalFormatting sqref="B13">
    <cfRule type="expression" dxfId="62" priority="32">
      <formula>B13&lt;&gt;""</formula>
    </cfRule>
  </conditionalFormatting>
  <conditionalFormatting sqref="B14">
    <cfRule type="expression" dxfId="61" priority="31">
      <formula>B14&lt;&gt;""</formula>
    </cfRule>
  </conditionalFormatting>
  <conditionalFormatting sqref="A5">
    <cfRule type="expression" dxfId="60" priority="30">
      <formula>A5&lt;&gt;""</formula>
    </cfRule>
  </conditionalFormatting>
  <conditionalFormatting sqref="A8">
    <cfRule type="expression" dxfId="59" priority="27">
      <formula>A8&lt;&gt;""</formula>
    </cfRule>
  </conditionalFormatting>
  <conditionalFormatting sqref="A9">
    <cfRule type="expression" dxfId="58" priority="26">
      <formula>A9&lt;&gt;""</formula>
    </cfRule>
  </conditionalFormatting>
  <conditionalFormatting sqref="A10">
    <cfRule type="expression" dxfId="57" priority="25">
      <formula>A10&lt;&gt;""</formula>
    </cfRule>
  </conditionalFormatting>
  <conditionalFormatting sqref="A11">
    <cfRule type="expression" dxfId="56" priority="24">
      <formula>A11&lt;&gt;""</formula>
    </cfRule>
  </conditionalFormatting>
  <conditionalFormatting sqref="A12">
    <cfRule type="expression" dxfId="55" priority="23">
      <formula>A12&lt;&gt;""</formula>
    </cfRule>
  </conditionalFormatting>
  <conditionalFormatting sqref="A13">
    <cfRule type="expression" dxfId="54" priority="22">
      <formula>A13&lt;&gt;""</formula>
    </cfRule>
  </conditionalFormatting>
  <conditionalFormatting sqref="A14">
    <cfRule type="expression" dxfId="53" priority="21">
      <formula>A14&lt;&gt;""</formula>
    </cfRule>
  </conditionalFormatting>
  <conditionalFormatting sqref="A14">
    <cfRule type="expression" dxfId="52" priority="20">
      <formula>A14&lt;&gt;""</formula>
    </cfRule>
  </conditionalFormatting>
  <conditionalFormatting sqref="A11">
    <cfRule type="expression" dxfId="51" priority="19">
      <formula>A11&lt;&gt;""</formula>
    </cfRule>
  </conditionalFormatting>
  <conditionalFormatting sqref="A12">
    <cfRule type="expression" dxfId="50" priority="18">
      <formula>A12&lt;&gt;""</formula>
    </cfRule>
  </conditionalFormatting>
  <conditionalFormatting sqref="A6">
    <cfRule type="expression" dxfId="49" priority="15">
      <formula>A6&lt;&gt;""</formula>
    </cfRule>
  </conditionalFormatting>
  <conditionalFormatting sqref="A7">
    <cfRule type="expression" dxfId="48" priority="14">
      <formula>A7&lt;&gt;""</formula>
    </cfRule>
  </conditionalFormatting>
  <conditionalFormatting sqref="A8">
    <cfRule type="expression" dxfId="47" priority="13">
      <formula>A8&lt;&gt;""</formula>
    </cfRule>
  </conditionalFormatting>
  <conditionalFormatting sqref="A9">
    <cfRule type="expression" dxfId="46" priority="12">
      <formula>A9&lt;&gt;""</formula>
    </cfRule>
  </conditionalFormatting>
  <conditionalFormatting sqref="A10">
    <cfRule type="expression" dxfId="45" priority="11">
      <formula>A10&lt;&gt;""</formula>
    </cfRule>
  </conditionalFormatting>
  <conditionalFormatting sqref="A11">
    <cfRule type="expression" dxfId="44" priority="10">
      <formula>A11&lt;&gt;""</formula>
    </cfRule>
  </conditionalFormatting>
  <conditionalFormatting sqref="A12">
    <cfRule type="expression" dxfId="43" priority="9">
      <formula>A12&lt;&gt;""</formula>
    </cfRule>
  </conditionalFormatting>
  <conditionalFormatting sqref="A13">
    <cfRule type="expression" dxfId="42" priority="8">
      <formula>A13&lt;&gt;""</formula>
    </cfRule>
  </conditionalFormatting>
  <conditionalFormatting sqref="A14">
    <cfRule type="expression" dxfId="41" priority="7">
      <formula>A14&lt;&gt;""</formula>
    </cfRule>
  </conditionalFormatting>
  <conditionalFormatting sqref="A7">
    <cfRule type="expression" dxfId="40" priority="6">
      <formula>A7&lt;&gt;""</formula>
    </cfRule>
  </conditionalFormatting>
  <conditionalFormatting sqref="A9">
    <cfRule type="expression" dxfId="39" priority="5">
      <formula>A9&lt;&gt;""</formula>
    </cfRule>
  </conditionalFormatting>
  <conditionalFormatting sqref="A11">
    <cfRule type="expression" dxfId="38" priority="4">
      <formula>A11&lt;&gt;""</formula>
    </cfRule>
  </conditionalFormatting>
  <conditionalFormatting sqref="A12">
    <cfRule type="expression" dxfId="37" priority="3">
      <formula>A12&lt;&gt;""</formula>
    </cfRule>
  </conditionalFormatting>
  <conditionalFormatting sqref="A14">
    <cfRule type="expression" dxfId="36" priority="2">
      <formula>A14&lt;&gt;""</formula>
    </cfRule>
  </conditionalFormatting>
  <conditionalFormatting sqref="A14">
    <cfRule type="expression" dxfId="35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opLeftCell="B1" zoomScale="75" zoomScaleNormal="75" workbookViewId="0">
      <pane ySplit="8" topLeftCell="A9" activePane="bottomLeft" state="frozen"/>
      <selection pane="bottomLeft" activeCell="F10" sqref="F10"/>
    </sheetView>
  </sheetViews>
  <sheetFormatPr defaultRowHeight="13.2" x14ac:dyDescent="0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 x14ac:dyDescent="0.2">
      <c r="A1" s="33" t="s">
        <v>6</v>
      </c>
      <c r="B1" s="34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2">
      <c r="A2" s="35" t="s">
        <v>20</v>
      </c>
      <c r="B2" s="36"/>
      <c r="C2" s="39">
        <f>COUNTA($D$9:$D$65505)</f>
        <v>2</v>
      </c>
      <c r="D2" s="21" t="str">
        <f>大中項目!B1</f>
        <v>PRQU</v>
      </c>
      <c r="E2" s="19" t="str">
        <f ca="1">RIGHT(CELL("filename",A1),LEN(CELL("filename",A1))-FIND("]",CELL("filename",A1)))</f>
        <v>PRQU01</v>
      </c>
      <c r="F2" s="9" t="s">
        <v>40</v>
      </c>
      <c r="G2" s="9"/>
      <c r="H2" s="8"/>
    </row>
    <row r="3" spans="1:10" x14ac:dyDescent="0.2">
      <c r="A3" s="37"/>
      <c r="B3" s="38"/>
      <c r="C3" s="40"/>
      <c r="D3" s="21" t="str">
        <f>大中項目!B2</f>
        <v>キューイング活用(優先順位)</v>
      </c>
      <c r="E3" s="19"/>
      <c r="F3" s="9">
        <v>42970</v>
      </c>
      <c r="G3" s="9"/>
      <c r="H3" s="9"/>
    </row>
    <row r="4" spans="1:10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2">
      <c r="A5" s="41" t="s">
        <v>13</v>
      </c>
      <c r="B5" s="42"/>
      <c r="C5" s="42"/>
      <c r="D5" s="42"/>
      <c r="E5" s="42"/>
      <c r="F5" s="42"/>
      <c r="G5" s="42"/>
      <c r="H5" s="42"/>
      <c r="I5" s="43"/>
    </row>
    <row r="6" spans="1:10" ht="42" customHeight="1" x14ac:dyDescent="0.2">
      <c r="A6" s="44" t="s">
        <v>14</v>
      </c>
      <c r="B6" s="45"/>
      <c r="C6" s="45"/>
      <c r="D6" s="45"/>
      <c r="E6" s="45"/>
      <c r="F6" s="45"/>
      <c r="G6" s="45"/>
      <c r="H6" s="45"/>
      <c r="I6" s="46"/>
    </row>
    <row r="7" spans="1:10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10" ht="26.4" x14ac:dyDescent="0.2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92.4" x14ac:dyDescent="0.2">
      <c r="A9" s="12" t="s">
        <v>30</v>
      </c>
      <c r="B9" s="20">
        <f t="shared" ref="B9:B19" ca="1" si="0">IF(A9&lt;&gt;"",1,INDIRECT(ADDRESS(ROW(B9)-1,COLUMN(B9),4))+1)</f>
        <v>1</v>
      </c>
      <c r="C9" s="13" t="s">
        <v>29</v>
      </c>
      <c r="D9" s="14" t="s">
        <v>33</v>
      </c>
      <c r="E9" s="14" t="s">
        <v>31</v>
      </c>
      <c r="F9" s="14" t="s">
        <v>32</v>
      </c>
      <c r="G9" s="14" t="s">
        <v>34</v>
      </c>
      <c r="H9" s="14" t="s">
        <v>39</v>
      </c>
      <c r="I9" s="15" t="s">
        <v>35</v>
      </c>
      <c r="J9" s="32"/>
    </row>
    <row r="10" spans="1:10" ht="92.4" x14ac:dyDescent="0.2">
      <c r="A10" s="16"/>
      <c r="B10" s="20">
        <f t="shared" ca="1" si="0"/>
        <v>2</v>
      </c>
      <c r="C10" s="13" t="s">
        <v>29</v>
      </c>
      <c r="D10" s="14" t="s">
        <v>36</v>
      </c>
      <c r="E10" s="14" t="s">
        <v>31</v>
      </c>
      <c r="F10" s="14" t="s">
        <v>32</v>
      </c>
      <c r="G10" s="14" t="s">
        <v>37</v>
      </c>
      <c r="H10" s="14" t="s">
        <v>38</v>
      </c>
      <c r="I10" s="15" t="s">
        <v>35</v>
      </c>
      <c r="J10" s="32"/>
    </row>
    <row r="11" spans="1:10" x14ac:dyDescent="0.2">
      <c r="A11" s="16"/>
      <c r="B11" s="20">
        <f t="shared" ca="1" si="0"/>
        <v>3</v>
      </c>
      <c r="C11" s="13"/>
      <c r="D11" s="17"/>
      <c r="E11" s="17"/>
      <c r="F11" s="17"/>
      <c r="G11" s="17"/>
      <c r="H11" s="17"/>
      <c r="I11" s="15"/>
      <c r="J11" s="32"/>
    </row>
    <row r="12" spans="1:10" x14ac:dyDescent="0.2">
      <c r="A12" s="16"/>
      <c r="B12" s="20">
        <f t="shared" ca="1" si="0"/>
        <v>4</v>
      </c>
      <c r="C12" s="13"/>
      <c r="D12" s="17"/>
      <c r="E12" s="17"/>
      <c r="F12" s="17"/>
      <c r="G12" s="17"/>
      <c r="H12" s="17"/>
      <c r="I12" s="15"/>
      <c r="J12" s="32"/>
    </row>
    <row r="13" spans="1:10" x14ac:dyDescent="0.2">
      <c r="A13" s="16"/>
      <c r="B13" s="20">
        <f t="shared" ca="1" si="0"/>
        <v>5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2">
      <c r="A14" s="16"/>
      <c r="B14" s="20">
        <f t="shared" ca="1" si="0"/>
        <v>6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2">
      <c r="A15" s="16"/>
      <c r="B15" s="20">
        <f t="shared" ca="1" si="0"/>
        <v>7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2">
      <c r="A16" s="16"/>
      <c r="B16" s="20">
        <f t="shared" ca="1" si="0"/>
        <v>8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2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2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2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106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PRQU01</vt:lpstr>
      <vt:lpstr>PRQU01!Print_Titles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2017-08-23T06:51:30Z</dcterms:modified>
</cp:coreProperties>
</file>