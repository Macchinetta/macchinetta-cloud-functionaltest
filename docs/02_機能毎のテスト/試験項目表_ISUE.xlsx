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 activeTab="2"/>
  </bookViews>
  <sheets>
    <sheet name="大中項目" sheetId="1" r:id="rId1"/>
    <sheet name="ISUE0101" sheetId="6" r:id="rId2"/>
    <sheet name="ISUE0102" sheetId="9" r:id="rId3"/>
    <sheet name="試験環境" sheetId="7" r:id="rId4"/>
    <sheet name="試験データ" sheetId="8" r:id="rId5"/>
  </sheets>
  <definedNames>
    <definedName name="_xlnm.Print_Titles" localSheetId="1">ISUE0101!$1:$8</definedName>
    <definedName name="_xlnm.Print_Titles" localSheetId="2">ISUE0102!$1:$8</definedName>
    <definedName name="_xlnm.Print_Titles" localSheetId="0">大中項目!$1:$4</definedName>
  </definedNames>
  <calcPr calcId="162913"/>
</workbook>
</file>

<file path=xl/calcChain.xml><?xml version="1.0" encoding="utf-8"?>
<calcChain xmlns="http://schemas.openxmlformats.org/spreadsheetml/2006/main">
  <c r="B9" i="9" l="1"/>
  <c r="D3" i="9"/>
  <c r="D2" i="9"/>
  <c r="C2" i="9"/>
  <c r="B10" i="9"/>
  <c r="D3" i="6" l="1"/>
  <c r="D2" i="6"/>
  <c r="A14" i="1"/>
  <c r="A12" i="1"/>
  <c r="A11" i="1"/>
  <c r="A9" i="1"/>
  <c r="A7" i="1"/>
  <c r="A13" i="1"/>
  <c r="A10" i="1"/>
  <c r="A8" i="1"/>
  <c r="A6" i="1"/>
  <c r="A5" i="1"/>
  <c r="B9" i="6"/>
  <c r="B11" i="9"/>
  <c r="B12" i="9"/>
  <c r="C5" i="1" l="1"/>
  <c r="B10" i="6"/>
  <c r="B13" i="9"/>
  <c r="C6" i="1" l="1"/>
  <c r="B11" i="6"/>
  <c r="B14" i="9"/>
  <c r="C7" i="1" l="1"/>
  <c r="B15" i="9"/>
  <c r="B12" i="6"/>
  <c r="C8" i="1" l="1"/>
  <c r="C2" i="6"/>
  <c r="B16" i="9"/>
  <c r="B13" i="6"/>
  <c r="C9" i="1" l="1"/>
  <c r="B14" i="6"/>
  <c r="B17" i="9"/>
  <c r="C10" i="1" l="1"/>
  <c r="B15" i="6"/>
  <c r="B18" i="9"/>
  <c r="C11" i="1" l="1"/>
  <c r="B16" i="6"/>
  <c r="B19" i="9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<sst xmlns="http://schemas.openxmlformats.org/spreadsheetml/2006/main" count="154" uniqueCount="110">
  <si>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</si>
  <si>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</si>
  <si>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</si>
  <si>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</si>
  <si>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</si>
  <si>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</si>
  <si>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</si>
  <si>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</si>
  <si>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</si>
  <si>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</si>
  <si>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</si>
  <si>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</si>
  <si>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</si>
  <si>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</si>
  <si>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</si>
  <si>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</si>
  <si>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</si>
  <si>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</si>
  <si>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</si>
  <si>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</si>
  <si>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</si>
  <si>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</si>
  <si>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</si>
  <si>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</si>
  <si>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正常</t>
  </si>
  <si>
    <t>野中　暁</t>
    <rPh sb="0" eb="2">
      <t>ノナカ</t>
    </rPh>
    <rPh sb="3" eb="4">
      <t>サトシ</t>
    </rPh>
    <phoneticPr fontId="2"/>
  </si>
  <si>
    <t>■DynamoDB</t>
  </si>
  <si>
    <t>　・「FileMetaData」テーブルを作成</t>
  </si>
  <si>
    <t>　　　ハッシュキー：　objectKey</t>
  </si>
  <si>
    <t>　　　ソートキー：　なし</t>
  </si>
  <si>
    <t>　・「FileMetaData」テーブルにセカンダリインデックスを作成</t>
  </si>
  <si>
    <t>　　　・「bucketName-size-index」</t>
  </si>
  <si>
    <t>　　　　　パーティションキー：　bucketName</t>
  </si>
  <si>
    <t>　　　　　ソートキー：　size</t>
  </si>
  <si>
    <t>　　　・「uploadUser-uploadDate-index」</t>
  </si>
  <si>
    <t>　　　　　パーティションキー：　uploadUser</t>
  </si>
  <si>
    <t>　　　　　ソートキー：　uploadDate</t>
  </si>
  <si>
    <t>■SQS</t>
  </si>
  <si>
    <t>　・「S3_UPDATE_NOTICE」キューを作成</t>
  </si>
  <si>
    <t>■S3</t>
  </si>
  <si>
    <t>　・「functionaltest.fileupload.a」バケットを作成</t>
  </si>
  <si>
    <t>　　　・イベント通知先を設定⇒　対象イベント：ObjectCreate(All)　通知先：「S3_UPDATE_NOTICE」キュー</t>
  </si>
  <si>
    <t>　　　・イベント通知先を設定⇒　対象イベント：ObjectDelete(All)　通知先：「S3_UPDATE_NOTICE」キュー</t>
  </si>
  <si>
    <t>　・「functionaltest.fileupload.b」バケットを作成</t>
  </si>
  <si>
    <t>　　　同上</t>
  </si>
  <si>
    <t>インターネットストレージにアップロードしたファイルを検索できることを確認する。</t>
    <rPh sb="26" eb="28">
      <t>ケンサク</t>
    </rPh>
    <rPh sb="34" eb="36">
      <t>カクニン</t>
    </rPh>
    <phoneticPr fontId="2"/>
  </si>
  <si>
    <t>・試験実施用にAWS上に「試験環境」シートの環境を準備する。</t>
    <rPh sb="1" eb="3">
      <t>シケン</t>
    </rPh>
    <rPh sb="3" eb="5">
      <t>ジッシ</t>
    </rPh>
    <rPh sb="5" eb="6">
      <t>ヨウ</t>
    </rPh>
    <rPh sb="10" eb="11">
      <t>ウエ</t>
    </rPh>
    <rPh sb="13" eb="15">
      <t>シケン</t>
    </rPh>
    <rPh sb="15" eb="17">
      <t>カンキョウ</t>
    </rPh>
    <rPh sb="22" eb="24">
      <t>カンキョウ</t>
    </rPh>
    <rPh sb="25" eb="27">
      <t>ジュンビ</t>
    </rPh>
    <phoneticPr fontId="2"/>
  </si>
  <si>
    <t>objectKey</t>
    <phoneticPr fontId="2"/>
  </si>
  <si>
    <t>bucketName</t>
    <phoneticPr fontId="2"/>
  </si>
  <si>
    <t>fileName</t>
    <phoneticPr fontId="2"/>
  </si>
  <si>
    <t>sequencer</t>
    <phoneticPr fontId="2"/>
  </si>
  <si>
    <t>size</t>
    <phoneticPr fontId="2"/>
  </si>
  <si>
    <t>uploadDate</t>
    <phoneticPr fontId="2"/>
  </si>
  <si>
    <t>uploadUser</t>
    <phoneticPr fontId="2"/>
  </si>
  <si>
    <t>USER0001-FILE0001.txt</t>
    <phoneticPr fontId="2"/>
  </si>
  <si>
    <t>functionaltest.fileupload.a</t>
    <phoneticPr fontId="2"/>
  </si>
  <si>
    <t>FILE0001.txt</t>
    <phoneticPr fontId="2"/>
  </si>
  <si>
    <t>xxxxx</t>
    <phoneticPr fontId="2"/>
  </si>
  <si>
    <t>2017-09-01</t>
    <phoneticPr fontId="2"/>
  </si>
  <si>
    <t>USER0001</t>
    <phoneticPr fontId="2"/>
  </si>
  <si>
    <t>USER0002-FILE0002.txt</t>
    <phoneticPr fontId="2"/>
  </si>
  <si>
    <t>FILE0002.txt</t>
    <phoneticPr fontId="2"/>
  </si>
  <si>
    <t>2017-09-05</t>
    <phoneticPr fontId="2"/>
  </si>
  <si>
    <t>USER0002</t>
    <phoneticPr fontId="2"/>
  </si>
  <si>
    <t>USER0001-FILE0003.txt</t>
    <phoneticPr fontId="2"/>
  </si>
  <si>
    <t>FILE0003.txt</t>
    <phoneticPr fontId="2"/>
  </si>
  <si>
    <t>USER0001-FILE0004.txt</t>
    <phoneticPr fontId="2"/>
  </si>
  <si>
    <t>functionaltest.fileupload.b</t>
    <phoneticPr fontId="2"/>
  </si>
  <si>
    <t>FILE0004.txt</t>
    <phoneticPr fontId="2"/>
  </si>
  <si>
    <t>bucketNameを指定したサイズ順の複数件検索</t>
    <rPh sb="11" eb="13">
      <t>シテイ</t>
    </rPh>
    <rPh sb="18" eb="19">
      <t>ジュン</t>
    </rPh>
    <rPh sb="20" eb="22">
      <t>フクスウ</t>
    </rPh>
    <rPh sb="22" eb="23">
      <t>ケン</t>
    </rPh>
    <rPh sb="23" eb="25">
      <t>ケンサク</t>
    </rPh>
    <phoneticPr fontId="2"/>
  </si>
  <si>
    <t>(1)</t>
    <phoneticPr fontId="2"/>
  </si>
  <si>
    <t>(2)</t>
    <phoneticPr fontId="2"/>
  </si>
  <si>
    <t>(3)</t>
    <phoneticPr fontId="2"/>
  </si>
  <si>
    <t>(4)</t>
    <phoneticPr fontId="2"/>
  </si>
  <si>
    <t>　⇒　(1)のみ該当</t>
    <rPh sb="8" eb="10">
      <t>ガイトウ</t>
    </rPh>
    <phoneticPr fontId="2"/>
  </si>
  <si>
    <t>インターネットストレージ(S3)にアップロードしたファイルを、プライマリキー（ハッシュキー：objectKey）を指定して検索できることを確認する。</t>
    <rPh sb="61" eb="63">
      <t>ケンサク</t>
    </rPh>
    <rPh sb="69" eb="71">
      <t>カクニン</t>
    </rPh>
    <phoneticPr fontId="2"/>
  </si>
  <si>
    <t>・該当レコード1件が検索結果として取得できること。
・検索結果のobjectKeyを使用してS3からファイルダウンロードできること。
・ダウンロードしたファイルの内容が事前にアップロードしたファイルの内容と一致すること。</t>
    <rPh sb="1" eb="3">
      <t>ガイトウ</t>
    </rPh>
    <rPh sb="8" eb="9">
      <t>ケン</t>
    </rPh>
    <rPh sb="10" eb="12">
      <t>ケンサク</t>
    </rPh>
    <rPh sb="12" eb="14">
      <t>ケッカ</t>
    </rPh>
    <rPh sb="17" eb="19">
      <t>シュトク</t>
    </rPh>
    <rPh sb="27" eb="29">
      <t>ケンサク</t>
    </rPh>
    <rPh sb="29" eb="31">
      <t>ケッカ</t>
    </rPh>
    <rPh sb="42" eb="44">
      <t>シヨウ</t>
    </rPh>
    <rPh sb="81" eb="83">
      <t>ナイヨウ</t>
    </rPh>
    <rPh sb="84" eb="86">
      <t>ジゼン</t>
    </rPh>
    <rPh sb="100" eb="102">
      <t>ナイヨウ</t>
    </rPh>
    <rPh sb="103" eb="105">
      <t>イッチ</t>
    </rPh>
    <phoneticPr fontId="2"/>
  </si>
  <si>
    <t>インターネットストレージ(S3)にアップロードしたファイルを、セカンダリインデックス（パーティションキー：uploadUser＆ソートキー：uploadDate）を指定して検索できることを確認する。</t>
    <rPh sb="86" eb="88">
      <t>ケンサク</t>
    </rPh>
    <rPh sb="94" eb="96">
      <t>カクニン</t>
    </rPh>
    <phoneticPr fontId="2"/>
  </si>
  <si>
    <t>インターネットストレージ(S3)にアップロードしたファイルを、セカンダリインデックスのパーティションキー（bucketName）を指定してソートキー（size）の降順に検索できることを確認する。</t>
    <rPh sb="81" eb="83">
      <t>コウジュン</t>
    </rPh>
    <rPh sb="84" eb="86">
      <t>ケンサク</t>
    </rPh>
    <rPh sb="92" eb="94">
      <t>カクニン</t>
    </rPh>
    <phoneticPr fontId="2"/>
  </si>
  <si>
    <t>・検索条件に一致するレコードのみが検索結果として取得できること。
・検索結果のobjectKeyを使用してS3からファイルダウンロードできること。
・ダウンロードしたファイルの内容が事前にアップロードしたファイルの内容と一致すること。</t>
    <rPh sb="1" eb="3">
      <t>ケンサク</t>
    </rPh>
    <rPh sb="3" eb="5">
      <t>ジョウケン</t>
    </rPh>
    <rPh sb="6" eb="8">
      <t>イッチ</t>
    </rPh>
    <rPh sb="17" eb="19">
      <t>ケンサク</t>
    </rPh>
    <rPh sb="19" eb="21">
      <t>ケッカ</t>
    </rPh>
    <rPh sb="24" eb="26">
      <t>シュトク</t>
    </rPh>
    <rPh sb="34" eb="36">
      <t>ケンサク</t>
    </rPh>
    <rPh sb="36" eb="38">
      <t>ケッカ</t>
    </rPh>
    <rPh sb="49" eb="51">
      <t>シヨウ</t>
    </rPh>
    <rPh sb="88" eb="90">
      <t>ナイヨウ</t>
    </rPh>
    <rPh sb="91" eb="93">
      <t>ジゼン</t>
    </rPh>
    <rPh sb="107" eb="109">
      <t>ナイヨウ</t>
    </rPh>
    <rPh sb="110" eb="112">
      <t>イッチ</t>
    </rPh>
    <phoneticPr fontId="2"/>
  </si>
  <si>
    <t>・検索条件に一致するレコードのみが検索結果として取得できること。
・検索結果がソートキー順に取得できること。
・検索結果のobjectKeyを使用してS3からファイルダウンロードできること。
・ダウンロードしたファイルの内容が事前にアップロードしたファイルの内容と一致すること。</t>
    <rPh sb="1" eb="3">
      <t>ケンサク</t>
    </rPh>
    <rPh sb="3" eb="5">
      <t>ジョウケン</t>
    </rPh>
    <rPh sb="6" eb="8">
      <t>イッチ</t>
    </rPh>
    <rPh sb="17" eb="19">
      <t>ケンサク</t>
    </rPh>
    <rPh sb="19" eb="21">
      <t>ケッカ</t>
    </rPh>
    <rPh sb="24" eb="26">
      <t>シュトク</t>
    </rPh>
    <rPh sb="34" eb="36">
      <t>ケンサク</t>
    </rPh>
    <rPh sb="36" eb="38">
      <t>ケッカ</t>
    </rPh>
    <rPh sb="44" eb="45">
      <t>ジュン</t>
    </rPh>
    <rPh sb="46" eb="48">
      <t>シュトク</t>
    </rPh>
    <rPh sb="56" eb="58">
      <t>ケンサク</t>
    </rPh>
    <rPh sb="58" eb="60">
      <t>ケッカ</t>
    </rPh>
    <rPh sb="71" eb="73">
      <t>シヨウ</t>
    </rPh>
    <rPh sb="110" eb="112">
      <t>ナイヨウ</t>
    </rPh>
    <rPh sb="113" eb="115">
      <t>ジゼン</t>
    </rPh>
    <rPh sb="129" eb="131">
      <t>ナイヨウ</t>
    </rPh>
    <rPh sb="132" eb="134">
      <t>イッチ</t>
    </rPh>
    <phoneticPr fontId="2"/>
  </si>
  <si>
    <t>Selenium:○</t>
  </si>
  <si>
    <t>・特記事項に記載の環境を整える。</t>
    <rPh sb="1" eb="3">
      <t>トッキ</t>
    </rPh>
    <rPh sb="3" eb="5">
      <t>ジコウ</t>
    </rPh>
    <rPh sb="6" eb="8">
      <t>キサイ</t>
    </rPh>
    <rPh sb="9" eb="11">
      <t>カンキョウ</t>
    </rPh>
    <rPh sb="12" eb="13">
      <t>トトノ</t>
    </rPh>
    <phoneticPr fontId="2"/>
  </si>
  <si>
    <t>・試験用APにログインする。
・ObjectKeyに「USER0001-FILE0001.txt」を指定してSearchボタンを押す。</t>
    <rPh sb="1" eb="4">
      <t>シケンヨウ</t>
    </rPh>
    <rPh sb="50" eb="52">
      <t>シテイ</t>
    </rPh>
    <rPh sb="64" eb="65">
      <t>オ</t>
    </rPh>
    <phoneticPr fontId="2"/>
  </si>
  <si>
    <t>・試験用APにログインする。
・UploadUserに「USER0001」、UploadDateに本日日付（例：2017-09-05）を指定してSearchボタンを押す。</t>
    <rPh sb="1" eb="4">
      <t>シケンヨウ</t>
    </rPh>
    <rPh sb="49" eb="51">
      <t>ホンジツ</t>
    </rPh>
    <rPh sb="51" eb="53">
      <t>ヒヅケ</t>
    </rPh>
    <rPh sb="54" eb="55">
      <t>レイ</t>
    </rPh>
    <rPh sb="68" eb="70">
      <t>シテイ</t>
    </rPh>
    <rPh sb="82" eb="83">
      <t>オ</t>
    </rPh>
    <phoneticPr fontId="2"/>
  </si>
  <si>
    <t>・試験用APにログインする。
・BucketNameに「functionaltest.fileupload.a」を指定してSearchボタンを押す。</t>
    <rPh sb="1" eb="4">
      <t>シケンヨウ</t>
    </rPh>
    <rPh sb="57" eb="59">
      <t>シテイ</t>
    </rPh>
    <rPh sb="71" eb="72">
      <t>オ</t>
    </rPh>
    <phoneticPr fontId="2"/>
  </si>
  <si>
    <t>■FileMetaDataテーブル</t>
    <phoneticPr fontId="2"/>
  </si>
  <si>
    <t>■検索結果 期待値</t>
    <rPh sb="1" eb="3">
      <t>ケンサク</t>
    </rPh>
    <rPh sb="3" eb="5">
      <t>ケッカ</t>
    </rPh>
    <rPh sb="6" eb="9">
      <t>キタイチ</t>
    </rPh>
    <phoneticPr fontId="2"/>
  </si>
  <si>
    <t>・objectKey「USER0001-FILE0001.txt」を指定した1件検索</t>
    <rPh sb="34" eb="36">
      <t>シテイ</t>
    </rPh>
    <rPh sb="39" eb="40">
      <t>ケン</t>
    </rPh>
    <rPh sb="40" eb="42">
      <t>ケンサク</t>
    </rPh>
    <phoneticPr fontId="2"/>
  </si>
  <si>
    <t>・uploadUser「USER0001」、uploadDate「2017-09-05」を指定した複数件検索</t>
    <rPh sb="45" eb="47">
      <t>シテイ</t>
    </rPh>
    <rPh sb="49" eb="51">
      <t>フクスウ</t>
    </rPh>
    <rPh sb="51" eb="52">
      <t>ケン</t>
    </rPh>
    <rPh sb="52" eb="54">
      <t>ケンサク</t>
    </rPh>
    <phoneticPr fontId="2"/>
  </si>
  <si>
    <t>　⇒　(3)、(4)が該当</t>
    <rPh sb="11" eb="13">
      <t>ガイトウ</t>
    </rPh>
    <phoneticPr fontId="2"/>
  </si>
  <si>
    <t>　⇒　(3)、(2)、(1)の順に該当</t>
    <rPh sb="15" eb="16">
      <t>ジュン</t>
    </rPh>
    <rPh sb="17" eb="19">
      <t>ガイトウ</t>
    </rPh>
    <phoneticPr fontId="2"/>
  </si>
  <si>
    <t>・検索対象となるファイルをS3に登録し、DynamoDBへの検索情報登録も実行させる。
（「試験データ」シートの状態をつくる）</t>
    <rPh sb="1" eb="3">
      <t>ケンサク</t>
    </rPh>
    <rPh sb="3" eb="5">
      <t>タイショウ</t>
    </rPh>
    <rPh sb="16" eb="18">
      <t>トウロク</t>
    </rPh>
    <rPh sb="30" eb="32">
      <t>ケンサク</t>
    </rPh>
    <rPh sb="32" eb="34">
      <t>ジョウホウ</t>
    </rPh>
    <rPh sb="34" eb="36">
      <t>トウロク</t>
    </rPh>
    <rPh sb="37" eb="39">
      <t>ジッコウ</t>
    </rPh>
    <rPh sb="46" eb="48">
      <t>シケン</t>
    </rPh>
    <rPh sb="56" eb="58">
      <t>ジョウタイ</t>
    </rPh>
    <phoneticPr fontId="2"/>
  </si>
  <si>
    <t>・検索対象となるファイルをS3に登録し、DynamoDBへの検索情報登録も実行させる。
（「試験データ」シートの状態をつくる）</t>
    <rPh sb="1" eb="3">
      <t>ケンサク</t>
    </rPh>
    <rPh sb="3" eb="5">
      <t>タイショウ</t>
    </rPh>
    <rPh sb="16" eb="18">
      <t>トウロク</t>
    </rPh>
    <rPh sb="30" eb="32">
      <t>ケンサク</t>
    </rPh>
    <rPh sb="32" eb="34">
      <t>ジョウホウ</t>
    </rPh>
    <rPh sb="34" eb="36">
      <t>トウロク</t>
    </rPh>
    <rPh sb="37" eb="39">
      <t>ジッコウ</t>
    </rPh>
    <phoneticPr fontId="2"/>
  </si>
  <si>
    <t>インターネットストレージに同一オブジェクトキーで連続的に更新した際に、正常動作することを確認する。</t>
    <rPh sb="13" eb="15">
      <t>ドウイツ</t>
    </rPh>
    <rPh sb="24" eb="27">
      <t>レンゾクテキ</t>
    </rPh>
    <rPh sb="28" eb="30">
      <t>コウシン</t>
    </rPh>
    <rPh sb="32" eb="33">
      <t>サイ</t>
    </rPh>
    <rPh sb="35" eb="37">
      <t>セイジョウ</t>
    </rPh>
    <rPh sb="37" eb="39">
      <t>ドウサ</t>
    </rPh>
    <rPh sb="44" eb="46">
      <t>カクニン</t>
    </rPh>
    <phoneticPr fontId="2"/>
  </si>
  <si>
    <t>野中　暁</t>
    <rPh sb="0" eb="2">
      <t>ノナカ</t>
    </rPh>
    <rPh sb="3" eb="4">
      <t>サトシ</t>
    </rPh>
    <phoneticPr fontId="2"/>
  </si>
  <si>
    <t>とくになし</t>
    <phoneticPr fontId="2"/>
  </si>
  <si>
    <t>・Junitより，5スレッドから同時にObjectKey「continuouslyUploadTest」を指定してファイルをアップロードする。</t>
    <rPh sb="16" eb="18">
      <t>ドウジ</t>
    </rPh>
    <rPh sb="53" eb="55">
      <t>シテイ</t>
    </rPh>
    <phoneticPr fontId="2"/>
  </si>
  <si>
    <t>・Junitより，同一オブジェクトキーのファイルの登録，更新，削除を連続的に行う。</t>
    <phoneticPr fontId="2"/>
  </si>
  <si>
    <t>JUnit:△</t>
  </si>
  <si>
    <t xml:space="preserve">インターネットストレージ(S3)に同一オブジェクトキーのファイルをほぼ同時にアップロードした際に，エラーが発生することなく更新情報がDynamoDBに反映されることを確認する。
（同時アップロードにより，S3へのアップロード順とS3からのイベント通知順が一致しなくなる可能性があり，その場合は古い情報のイベント通知はDynamoDBへの反映がスキップされる想定。）
</t>
    <rPh sb="144" eb="146">
      <t>バアイ</t>
    </rPh>
    <phoneticPr fontId="2"/>
  </si>
  <si>
    <t>インターネットストレージ(S3)に同一オブジェクトキーのファイルの登録，更新，削除を連続的に行った際に，エラーが発生することなく登録，更新，削除されることを確認する。
（同一オブジェクトキーによる更新を連続的に行うと，S3へのアップロード順とS3からのイベント通知順が一致しなくなる可能性があり，最後に削除されるという順序性が崩れる可能性があるため，各操作の間で一定時間スリープする。）</t>
    <phoneticPr fontId="2"/>
  </si>
  <si>
    <t>ISUE</t>
    <phoneticPr fontId="2"/>
  </si>
  <si>
    <t>インターネットストレージ内ファイルの効率的な検索</t>
    <rPh sb="12" eb="13">
      <t>ナイ</t>
    </rPh>
    <rPh sb="22" eb="24">
      <t>ケンサク</t>
    </rPh>
    <phoneticPr fontId="2"/>
  </si>
  <si>
    <t>インターネットストレージ内ファイルの効率的な検索</t>
    <phoneticPr fontId="2"/>
  </si>
  <si>
    <t>ISUE0101</t>
    <phoneticPr fontId="2"/>
  </si>
  <si>
    <t>ISUE0102</t>
    <phoneticPr fontId="2"/>
  </si>
  <si>
    <t>インターネットストレージ内ファイルの効率的な検索</t>
    <phoneticPr fontId="2"/>
  </si>
  <si>
    <t xml:space="preserve">・アプリケーションログ上で「level:ERROR」をgrepしhit数が0件であることを確認
・[アップロード数(5) - スキップ回数]が[更新回数]と一致することをログから目視確認する。
※スキップ回数はWARNレベルで「より新しいデータが登録済のため何もしない」の文言が出力されている件数を数える。
※更新回数はログに出力される「logger:j.c.n.c.f.selenide.testcase.StrageSearchTest     message:更新回数:～」を確認する
</t>
    <rPh sb="89" eb="91">
      <t>モクシ</t>
    </rPh>
    <phoneticPr fontId="2"/>
  </si>
  <si>
    <t>・アプリケーションログ上で「level:ERROR」をgrepしhit数が0件であることを確認
・最終的にファイルが削除された状態であることを確認する。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</si>
</sst>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&lt;=999]000;[&lt;=9999]000\-00;000\-0000"/>
  </numFmts>
  <fonts count="10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5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14" fontId="0" fillId="0" borderId="0" xfId="0" quotePrefix="1" applyNumberFormat="1">
      <alignment vertical="center"/>
    </xf>
    <xf numFmtId="0" fontId="4" fillId="0" borderId="0" xfId="0" applyFont="1">
      <alignment vertical="center"/>
    </xf>
    <xf numFmtId="14" fontId="9" fillId="0" borderId="1" xfId="0" quotePrefix="1" applyNumberFormat="1" applyFont="1" applyBorder="1">
      <alignment vertical="center"/>
    </xf>
    <xf numFmtId="14" fontId="0" fillId="0" borderId="1" xfId="0" quotePrefix="1" applyNumberFormat="1" applyBorder="1">
      <alignment vertical="center"/>
    </xf>
    <xf numFmtId="0" fontId="9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0" fillId="0" borderId="0" xfId="0" quotePrefix="1">
      <alignment vertical="center"/>
    </xf>
    <xf numFmtId="0" fontId="4" fillId="0" borderId="0" xfId="0" applyFont="1" applyFill="1" applyBorder="1">
      <alignment vertical="center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 wrapText="1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106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B6" sqref="B6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102</v>
      </c>
      <c r="C1" s="31" t="s">
        <v>23</v>
      </c>
    </row>
    <row r="2" spans="1:4" x14ac:dyDescent="0.15">
      <c r="A2" s="3" t="s">
        <v>1</v>
      </c>
      <c r="B2" s="2" t="s">
        <v>103</v>
      </c>
      <c r="C2" s="2">
        <v>5</v>
      </c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15">
      <c r="A5" s="26" t="str">
        <f>IF(B5="","",($B$1&amp;TEXT(IF(B5="","",COUNTA($B$5:B5)),"00")))</f>
        <v>ISUE01</v>
      </c>
      <c r="B5" s="23" t="s">
        <v>103</v>
      </c>
      <c r="C5" s="30" t="str">
        <f>IF(B5="",($B$1&amp;TEXT(IF(B5="",COUNTA($B$5:B5),1),"00")),A5)&amp;IF(B5&lt;&gt;"",TEXT(1,"00"),TEXT(IF(A5&lt;&gt;"",1,RIGHT(C4,2)+1),"00"))</f>
        <v>ISUE0101</v>
      </c>
      <c r="D5" s="5" t="s">
        <v>45</v>
      </c>
    </row>
    <row r="6" spans="1:4" ht="27" x14ac:dyDescent="0.15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ISUE0102</v>
      </c>
      <c r="D6" s="5" t="s">
        <v>94</v>
      </c>
    </row>
    <row r="7" spans="1:4" x14ac:dyDescent="0.15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ISUE0103</v>
      </c>
      <c r="D7" s="5"/>
    </row>
    <row r="8" spans="1:4" x14ac:dyDescent="0.15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ISUE0104</v>
      </c>
      <c r="D8" s="5"/>
    </row>
    <row r="9" spans="1:4" x14ac:dyDescent="0.15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ISUE0105</v>
      </c>
      <c r="D9" s="5"/>
    </row>
    <row r="10" spans="1:4" x14ac:dyDescent="0.15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ISUE0106</v>
      </c>
      <c r="D10" s="5"/>
    </row>
    <row r="11" spans="1:4" x14ac:dyDescent="0.15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ISUE0107</v>
      </c>
      <c r="D11" s="5"/>
    </row>
    <row r="12" spans="1:4" x14ac:dyDescent="0.15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ISUE0108</v>
      </c>
      <c r="D12" s="5"/>
    </row>
    <row r="13" spans="1:4" x14ac:dyDescent="0.15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ISUE0109</v>
      </c>
      <c r="D13" s="5"/>
    </row>
    <row r="14" spans="1:4" x14ac:dyDescent="0.15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ISUE0110</v>
      </c>
      <c r="D14" s="5"/>
    </row>
  </sheetData>
  <phoneticPr fontId="2"/>
  <conditionalFormatting sqref="B5">
    <cfRule type="expression" dxfId="105" priority="40">
      <formula>B5&lt;&gt;""</formula>
    </cfRule>
  </conditionalFormatting>
  <conditionalFormatting sqref="B6">
    <cfRule type="expression" dxfId="104" priority="39">
      <formula>B6&lt;&gt;""</formula>
    </cfRule>
  </conditionalFormatting>
  <conditionalFormatting sqref="B7">
    <cfRule type="expression" dxfId="103" priority="38">
      <formula>B7&lt;&gt;""</formula>
    </cfRule>
  </conditionalFormatting>
  <conditionalFormatting sqref="B8">
    <cfRule type="expression" dxfId="102" priority="37">
      <formula>B8&lt;&gt;""</formula>
    </cfRule>
  </conditionalFormatting>
  <conditionalFormatting sqref="B9">
    <cfRule type="expression" dxfId="101" priority="36">
      <formula>B9&lt;&gt;""</formula>
    </cfRule>
  </conditionalFormatting>
  <conditionalFormatting sqref="B10">
    <cfRule type="expression" dxfId="100" priority="35">
      <formula>B10&lt;&gt;""</formula>
    </cfRule>
  </conditionalFormatting>
  <conditionalFormatting sqref="B11">
    <cfRule type="expression" dxfId="99" priority="34">
      <formula>B11&lt;&gt;""</formula>
    </cfRule>
  </conditionalFormatting>
  <conditionalFormatting sqref="B12">
    <cfRule type="expression" dxfId="98" priority="33">
      <formula>B12&lt;&gt;""</formula>
    </cfRule>
  </conditionalFormatting>
  <conditionalFormatting sqref="B13">
    <cfRule type="expression" dxfId="97" priority="32">
      <formula>B13&lt;&gt;""</formula>
    </cfRule>
  </conditionalFormatting>
  <conditionalFormatting sqref="B14">
    <cfRule type="expression" dxfId="96" priority="31">
      <formula>B14&lt;&gt;""</formula>
    </cfRule>
  </conditionalFormatting>
  <conditionalFormatting sqref="A5">
    <cfRule type="expression" dxfId="95" priority="30">
      <formula>A5&lt;&gt;""</formula>
    </cfRule>
  </conditionalFormatting>
  <conditionalFormatting sqref="A8">
    <cfRule type="expression" dxfId="94" priority="27">
      <formula>A8&lt;&gt;""</formula>
    </cfRule>
  </conditionalFormatting>
  <conditionalFormatting sqref="A9">
    <cfRule type="expression" dxfId="93" priority="26">
      <formula>A9&lt;&gt;""</formula>
    </cfRule>
  </conditionalFormatting>
  <conditionalFormatting sqref="A10">
    <cfRule type="expression" dxfId="92" priority="25">
      <formula>A10&lt;&gt;""</formula>
    </cfRule>
  </conditionalFormatting>
  <conditionalFormatting sqref="A11">
    <cfRule type="expression" dxfId="91" priority="24">
      <formula>A11&lt;&gt;""</formula>
    </cfRule>
  </conditionalFormatting>
  <conditionalFormatting sqref="A12">
    <cfRule type="expression" dxfId="90" priority="23">
      <formula>A12&lt;&gt;""</formula>
    </cfRule>
  </conditionalFormatting>
  <conditionalFormatting sqref="A13">
    <cfRule type="expression" dxfId="89" priority="22">
      <formula>A13&lt;&gt;""</formula>
    </cfRule>
  </conditionalFormatting>
  <conditionalFormatting sqref="A14">
    <cfRule type="expression" dxfId="88" priority="21">
      <formula>A14&lt;&gt;""</formula>
    </cfRule>
  </conditionalFormatting>
  <conditionalFormatting sqref="A14">
    <cfRule type="expression" dxfId="87" priority="20">
      <formula>A14&lt;&gt;""</formula>
    </cfRule>
  </conditionalFormatting>
  <conditionalFormatting sqref="A11">
    <cfRule type="expression" dxfId="86" priority="19">
      <formula>A11&lt;&gt;""</formula>
    </cfRule>
  </conditionalFormatting>
  <conditionalFormatting sqref="A12">
    <cfRule type="expression" dxfId="85" priority="18">
      <formula>A12&lt;&gt;""</formula>
    </cfRule>
  </conditionalFormatting>
  <conditionalFormatting sqref="A6">
    <cfRule type="expression" dxfId="84" priority="15">
      <formula>A6&lt;&gt;""</formula>
    </cfRule>
  </conditionalFormatting>
  <conditionalFormatting sqref="A7">
    <cfRule type="expression" dxfId="83" priority="14">
      <formula>A7&lt;&gt;""</formula>
    </cfRule>
  </conditionalFormatting>
  <conditionalFormatting sqref="A8">
    <cfRule type="expression" dxfId="82" priority="13">
      <formula>A8&lt;&gt;""</formula>
    </cfRule>
  </conditionalFormatting>
  <conditionalFormatting sqref="A9">
    <cfRule type="expression" dxfId="81" priority="12">
      <formula>A9&lt;&gt;""</formula>
    </cfRule>
  </conditionalFormatting>
  <conditionalFormatting sqref="A10">
    <cfRule type="expression" dxfId="80" priority="11">
      <formula>A10&lt;&gt;""</formula>
    </cfRule>
  </conditionalFormatting>
  <conditionalFormatting sqref="A11">
    <cfRule type="expression" dxfId="79" priority="10">
      <formula>A11&lt;&gt;""</formula>
    </cfRule>
  </conditionalFormatting>
  <conditionalFormatting sqref="A12">
    <cfRule type="expression" dxfId="78" priority="9">
      <formula>A12&lt;&gt;""</formula>
    </cfRule>
  </conditionalFormatting>
  <conditionalFormatting sqref="A13">
    <cfRule type="expression" dxfId="77" priority="8">
      <formula>A13&lt;&gt;""</formula>
    </cfRule>
  </conditionalFormatting>
  <conditionalFormatting sqref="A14">
    <cfRule type="expression" dxfId="76" priority="7">
      <formula>A14&lt;&gt;""</formula>
    </cfRule>
  </conditionalFormatting>
  <conditionalFormatting sqref="A7">
    <cfRule type="expression" dxfId="75" priority="6">
      <formula>A7&lt;&gt;""</formula>
    </cfRule>
  </conditionalFormatting>
  <conditionalFormatting sqref="A9">
    <cfRule type="expression" dxfId="74" priority="5">
      <formula>A9&lt;&gt;""</formula>
    </cfRule>
  </conditionalFormatting>
  <conditionalFormatting sqref="A11">
    <cfRule type="expression" dxfId="73" priority="4">
      <formula>A11&lt;&gt;""</formula>
    </cfRule>
  </conditionalFormatting>
  <conditionalFormatting sqref="A12">
    <cfRule type="expression" dxfId="72" priority="3">
      <formula>A12&lt;&gt;""</formula>
    </cfRule>
  </conditionalFormatting>
  <conditionalFormatting sqref="A14">
    <cfRule type="expression" dxfId="71" priority="2">
      <formula>A14&lt;&gt;""</formula>
    </cfRule>
  </conditionalFormatting>
  <conditionalFormatting sqref="A14">
    <cfRule type="expression" dxfId="70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85" zoomScaleNormal="85" workbookViewId="0">
      <pane ySplit="8" topLeftCell="A9" activePane="bottomLeft" state="frozen"/>
      <selection pane="bottomLeft" activeCell="A10" sqref="A10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41" t="s">
        <v>6</v>
      </c>
      <c r="B1" s="42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43" t="s">
        <v>19</v>
      </c>
      <c r="B2" s="44"/>
      <c r="C2" s="47">
        <f>COUNTA($D$9:$D$65505)</f>
        <v>3</v>
      </c>
      <c r="D2" s="21" t="str">
        <f>大中項目!B1</f>
        <v>ISUE</v>
      </c>
      <c r="E2" s="19"/>
      <c r="F2" s="9" t="s">
        <v>25</v>
      </c>
      <c r="G2" s="9"/>
      <c r="H2" s="8"/>
    </row>
    <row r="3" spans="1:10" x14ac:dyDescent="0.15">
      <c r="A3" s="45"/>
      <c r="B3" s="46"/>
      <c r="C3" s="48"/>
      <c r="D3" s="21" t="str">
        <f>大中項目!B2</f>
        <v>インターネットストレージ内ファイルの効率的な検索</v>
      </c>
      <c r="E3" s="19" t="s">
        <v>104</v>
      </c>
      <c r="F3" s="9">
        <v>42983</v>
      </c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49" t="s">
        <v>13</v>
      </c>
      <c r="B5" s="50"/>
      <c r="C5" s="50"/>
      <c r="D5" s="50"/>
      <c r="E5" s="50"/>
      <c r="F5" s="50"/>
      <c r="G5" s="50"/>
      <c r="H5" s="50"/>
      <c r="I5" s="51"/>
    </row>
    <row r="6" spans="1:10" x14ac:dyDescent="0.15">
      <c r="A6" s="52" t="s">
        <v>46</v>
      </c>
      <c r="B6" s="53"/>
      <c r="C6" s="53"/>
      <c r="D6" s="53"/>
      <c r="E6" s="53"/>
      <c r="F6" s="53"/>
      <c r="G6" s="53"/>
      <c r="H6" s="53"/>
      <c r="I6" s="54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20</v>
      </c>
      <c r="C8" s="6" t="s">
        <v>14</v>
      </c>
      <c r="D8" s="6" t="s">
        <v>15</v>
      </c>
      <c r="E8" s="6" t="s">
        <v>16</v>
      </c>
      <c r="F8" s="7" t="s">
        <v>21</v>
      </c>
      <c r="G8" s="7" t="s">
        <v>22</v>
      </c>
      <c r="H8" s="6" t="s">
        <v>17</v>
      </c>
      <c r="I8" s="6" t="s">
        <v>18</v>
      </c>
    </row>
    <row r="9" spans="1:10" ht="67.5" x14ac:dyDescent="0.15">
      <c r="A9" s="12" t="s">
        <v>105</v>
      </c>
      <c r="B9" s="20">
        <f t="shared" ref="B9:B19" ca="1" si="0">IF(A9&lt;&gt;"",1,INDIRECT(ADDRESS(ROW(B9)-1,COLUMN(B9),4))+1)</f>
        <v>1</v>
      </c>
      <c r="C9" s="13" t="s">
        <v>24</v>
      </c>
      <c r="D9" s="14" t="s">
        <v>75</v>
      </c>
      <c r="E9" s="14" t="s">
        <v>82</v>
      </c>
      <c r="F9" s="14" t="s">
        <v>92</v>
      </c>
      <c r="G9" s="14" t="s">
        <v>83</v>
      </c>
      <c r="H9" s="14" t="s">
        <v>76</v>
      </c>
      <c r="I9" s="15" t="s">
        <v>81</v>
      </c>
      <c r="J9" s="32"/>
    </row>
    <row r="10" spans="1:10" ht="81" x14ac:dyDescent="0.15">
      <c r="A10" s="16"/>
      <c r="B10" s="20">
        <f t="shared" ca="1" si="0"/>
        <v>2</v>
      </c>
      <c r="C10" s="13" t="s">
        <v>24</v>
      </c>
      <c r="D10" s="17" t="s">
        <v>77</v>
      </c>
      <c r="E10" s="14" t="s">
        <v>82</v>
      </c>
      <c r="F10" s="14" t="s">
        <v>93</v>
      </c>
      <c r="G10" s="14" t="s">
        <v>84</v>
      </c>
      <c r="H10" s="17" t="s">
        <v>79</v>
      </c>
      <c r="I10" s="15" t="s">
        <v>81</v>
      </c>
      <c r="J10" s="32"/>
    </row>
    <row r="11" spans="1:10" ht="94.5" x14ac:dyDescent="0.15">
      <c r="A11" s="16"/>
      <c r="B11" s="20">
        <f t="shared" ca="1" si="0"/>
        <v>3</v>
      </c>
      <c r="C11" s="13" t="s">
        <v>24</v>
      </c>
      <c r="D11" s="17" t="s">
        <v>78</v>
      </c>
      <c r="E11" s="14" t="s">
        <v>82</v>
      </c>
      <c r="F11" s="14" t="s">
        <v>93</v>
      </c>
      <c r="G11" s="14" t="s">
        <v>85</v>
      </c>
      <c r="H11" s="17" t="s">
        <v>80</v>
      </c>
      <c r="I11" s="15" t="s">
        <v>81</v>
      </c>
      <c r="J11" s="32"/>
    </row>
    <row r="12" spans="1:10" x14ac:dyDescent="0.15">
      <c r="A12" s="16"/>
      <c r="B12" s="20">
        <f t="shared" ca="1" si="0"/>
        <v>4</v>
      </c>
      <c r="C12" s="13"/>
      <c r="D12" s="17"/>
      <c r="E12" s="17"/>
      <c r="F12" s="17"/>
      <c r="G12" s="17"/>
      <c r="H12" s="17"/>
      <c r="I12" s="15"/>
      <c r="J12" s="32"/>
    </row>
    <row r="13" spans="1:10" x14ac:dyDescent="0.15">
      <c r="A13" s="16"/>
      <c r="B13" s="20">
        <f t="shared" ca="1" si="0"/>
        <v>5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15">
      <c r="A14" s="16"/>
      <c r="B14" s="20">
        <f t="shared" ca="1" si="0"/>
        <v>6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15">
      <c r="A15" s="16"/>
      <c r="B15" s="20">
        <f t="shared" ca="1" si="0"/>
        <v>7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15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15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15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15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69" priority="106">
      <formula>A9&lt;&gt;""</formula>
    </cfRule>
  </conditionalFormatting>
  <conditionalFormatting sqref="B9:B19">
    <cfRule type="expression" dxfId="68" priority="34">
      <formula>B9&lt;&gt;""</formula>
    </cfRule>
  </conditionalFormatting>
  <conditionalFormatting sqref="B9">
    <cfRule type="expression" dxfId="67" priority="33">
      <formula>B9&lt;&gt;""</formula>
    </cfRule>
  </conditionalFormatting>
  <conditionalFormatting sqref="B9">
    <cfRule type="expression" dxfId="66" priority="32">
      <formula>B9&lt;&gt;""</formula>
    </cfRule>
  </conditionalFormatting>
  <conditionalFormatting sqref="B9">
    <cfRule type="expression" dxfId="65" priority="31">
      <formula>B9&lt;&gt;""</formula>
    </cfRule>
  </conditionalFormatting>
  <conditionalFormatting sqref="B10">
    <cfRule type="expression" dxfId="64" priority="30">
      <formula>B10&lt;&gt;""</formula>
    </cfRule>
  </conditionalFormatting>
  <conditionalFormatting sqref="B10">
    <cfRule type="expression" dxfId="63" priority="29">
      <formula>B10&lt;&gt;""</formula>
    </cfRule>
  </conditionalFormatting>
  <conditionalFormatting sqref="B10">
    <cfRule type="expression" dxfId="62" priority="28">
      <formula>B10&lt;&gt;""</formula>
    </cfRule>
  </conditionalFormatting>
  <conditionalFormatting sqref="B11">
    <cfRule type="expression" dxfId="61" priority="27">
      <formula>B11&lt;&gt;""</formula>
    </cfRule>
  </conditionalFormatting>
  <conditionalFormatting sqref="B11">
    <cfRule type="expression" dxfId="60" priority="26">
      <formula>B11&lt;&gt;""</formula>
    </cfRule>
  </conditionalFormatting>
  <conditionalFormatting sqref="B11">
    <cfRule type="expression" dxfId="59" priority="25">
      <formula>B11&lt;&gt;""</formula>
    </cfRule>
  </conditionalFormatting>
  <conditionalFormatting sqref="B12">
    <cfRule type="expression" dxfId="58" priority="24">
      <formula>B12&lt;&gt;""</formula>
    </cfRule>
  </conditionalFormatting>
  <conditionalFormatting sqref="B12">
    <cfRule type="expression" dxfId="57" priority="23">
      <formula>B12&lt;&gt;""</formula>
    </cfRule>
  </conditionalFormatting>
  <conditionalFormatting sqref="B12">
    <cfRule type="expression" dxfId="56" priority="22">
      <formula>B12&lt;&gt;""</formula>
    </cfRule>
  </conditionalFormatting>
  <conditionalFormatting sqref="B13">
    <cfRule type="expression" dxfId="55" priority="21">
      <formula>B13&lt;&gt;""</formula>
    </cfRule>
  </conditionalFormatting>
  <conditionalFormatting sqref="B13">
    <cfRule type="expression" dxfId="54" priority="20">
      <formula>B13&lt;&gt;""</formula>
    </cfRule>
  </conditionalFormatting>
  <conditionalFormatting sqref="B13">
    <cfRule type="expression" dxfId="53" priority="19">
      <formula>B13&lt;&gt;""</formula>
    </cfRule>
  </conditionalFormatting>
  <conditionalFormatting sqref="B14">
    <cfRule type="expression" dxfId="52" priority="18">
      <formula>B14&lt;&gt;""</formula>
    </cfRule>
  </conditionalFormatting>
  <conditionalFormatting sqref="B14">
    <cfRule type="expression" dxfId="51" priority="17">
      <formula>B14&lt;&gt;""</formula>
    </cfRule>
  </conditionalFormatting>
  <conditionalFormatting sqref="B14">
    <cfRule type="expression" dxfId="50" priority="16">
      <formula>B14&lt;&gt;""</formula>
    </cfRule>
  </conditionalFormatting>
  <conditionalFormatting sqref="B15">
    <cfRule type="expression" dxfId="49" priority="15">
      <formula>B15&lt;&gt;""</formula>
    </cfRule>
  </conditionalFormatting>
  <conditionalFormatting sqref="B15">
    <cfRule type="expression" dxfId="48" priority="14">
      <formula>B15&lt;&gt;""</formula>
    </cfRule>
  </conditionalFormatting>
  <conditionalFormatting sqref="B15">
    <cfRule type="expression" dxfId="47" priority="13">
      <formula>B15&lt;&gt;""</formula>
    </cfRule>
  </conditionalFormatting>
  <conditionalFormatting sqref="B16">
    <cfRule type="expression" dxfId="46" priority="12">
      <formula>B16&lt;&gt;""</formula>
    </cfRule>
  </conditionalFormatting>
  <conditionalFormatting sqref="B16">
    <cfRule type="expression" dxfId="45" priority="11">
      <formula>B16&lt;&gt;""</formula>
    </cfRule>
  </conditionalFormatting>
  <conditionalFormatting sqref="B16">
    <cfRule type="expression" dxfId="44" priority="10">
      <formula>B16&lt;&gt;""</formula>
    </cfRule>
  </conditionalFormatting>
  <conditionalFormatting sqref="B17">
    <cfRule type="expression" dxfId="43" priority="9">
      <formula>B17&lt;&gt;""</formula>
    </cfRule>
  </conditionalFormatting>
  <conditionalFormatting sqref="B17">
    <cfRule type="expression" dxfId="42" priority="8">
      <formula>B17&lt;&gt;""</formula>
    </cfRule>
  </conditionalFormatting>
  <conditionalFormatting sqref="B17">
    <cfRule type="expression" dxfId="41" priority="7">
      <formula>B17&lt;&gt;""</formula>
    </cfRule>
  </conditionalFormatting>
  <conditionalFormatting sqref="B18">
    <cfRule type="expression" dxfId="40" priority="6">
      <formula>B18&lt;&gt;""</formula>
    </cfRule>
  </conditionalFormatting>
  <conditionalFormatting sqref="B18">
    <cfRule type="expression" dxfId="39" priority="5">
      <formula>B18&lt;&gt;""</formula>
    </cfRule>
  </conditionalFormatting>
  <conditionalFormatting sqref="B18">
    <cfRule type="expression" dxfId="38" priority="4">
      <formula>B18&lt;&gt;""</formula>
    </cfRule>
  </conditionalFormatting>
  <conditionalFormatting sqref="B19">
    <cfRule type="expression" dxfId="37" priority="3">
      <formula>B19&lt;&gt;""</formula>
    </cfRule>
  </conditionalFormatting>
  <conditionalFormatting sqref="B19">
    <cfRule type="expression" dxfId="36" priority="2">
      <formula>B19&lt;&gt;""</formula>
    </cfRule>
  </conditionalFormatting>
  <conditionalFormatting sqref="B19">
    <cfRule type="expression" dxfId="35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topLeftCell="D1" zoomScale="70" zoomScaleNormal="70" workbookViewId="0">
      <pane ySplit="8" topLeftCell="A9" activePane="bottomLeft" state="frozen"/>
      <selection pane="bottomLeft" activeCell="H9" sqref="H9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41" t="s">
        <v>6</v>
      </c>
      <c r="B1" s="42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43" t="s">
        <v>19</v>
      </c>
      <c r="B2" s="44"/>
      <c r="C2" s="47">
        <f>COUNTA($D$9:$D$65505)</f>
        <v>2</v>
      </c>
      <c r="D2" s="21" t="str">
        <f>大中項目!B1</f>
        <v>ISUE</v>
      </c>
      <c r="E2" s="19"/>
      <c r="F2" s="9" t="s">
        <v>25</v>
      </c>
      <c r="G2" s="9" t="s">
        <v>95</v>
      </c>
      <c r="H2" s="8"/>
    </row>
    <row r="3" spans="1:10" x14ac:dyDescent="0.15">
      <c r="A3" s="45"/>
      <c r="B3" s="46"/>
      <c r="C3" s="48"/>
      <c r="D3" s="21" t="str">
        <f>大中項目!B2</f>
        <v>インターネットストレージ内ファイルの効率的な検索</v>
      </c>
      <c r="E3" s="19" t="s">
        <v>107</v>
      </c>
      <c r="F3" s="9">
        <v>42983</v>
      </c>
      <c r="G3" s="9">
        <v>43003</v>
      </c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49" t="s">
        <v>13</v>
      </c>
      <c r="B5" s="50"/>
      <c r="C5" s="50"/>
      <c r="D5" s="50"/>
      <c r="E5" s="50"/>
      <c r="F5" s="50"/>
      <c r="G5" s="50"/>
      <c r="H5" s="50"/>
      <c r="I5" s="51"/>
    </row>
    <row r="6" spans="1:10" x14ac:dyDescent="0.15">
      <c r="A6" s="52" t="s">
        <v>46</v>
      </c>
      <c r="B6" s="53"/>
      <c r="C6" s="53"/>
      <c r="D6" s="53"/>
      <c r="E6" s="53"/>
      <c r="F6" s="53"/>
      <c r="G6" s="53"/>
      <c r="H6" s="53"/>
      <c r="I6" s="54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20</v>
      </c>
      <c r="C8" s="6" t="s">
        <v>14</v>
      </c>
      <c r="D8" s="6" t="s">
        <v>15</v>
      </c>
      <c r="E8" s="6" t="s">
        <v>16</v>
      </c>
      <c r="F8" s="7" t="s">
        <v>21</v>
      </c>
      <c r="G8" s="7" t="s">
        <v>22</v>
      </c>
      <c r="H8" s="6" t="s">
        <v>17</v>
      </c>
      <c r="I8" s="6" t="s">
        <v>18</v>
      </c>
    </row>
    <row r="9" spans="1:10" ht="202.5" x14ac:dyDescent="0.15">
      <c r="A9" s="12" t="s">
        <v>106</v>
      </c>
      <c r="B9" s="20">
        <f t="shared" ref="B9:B19" ca="1" si="0">IF(A9&lt;&gt;"",1,INDIRECT(ADDRESS(ROW(B9)-1,COLUMN(B9),4))+1)</f>
        <v>1</v>
      </c>
      <c r="C9" s="13" t="s">
        <v>24</v>
      </c>
      <c r="D9" s="14" t="s">
        <v>100</v>
      </c>
      <c r="E9" s="14" t="s">
        <v>82</v>
      </c>
      <c r="F9" s="14" t="s">
        <v>96</v>
      </c>
      <c r="G9" s="14" t="s">
        <v>97</v>
      </c>
      <c r="H9" s="14" t="s">
        <v>108</v>
      </c>
      <c r="I9" s="15" t="s">
        <v>99</v>
      </c>
      <c r="J9" s="32"/>
    </row>
    <row r="10" spans="1:10" ht="202.5" x14ac:dyDescent="0.15">
      <c r="A10" s="16"/>
      <c r="B10" s="20">
        <f t="shared" ca="1" si="0"/>
        <v>2</v>
      </c>
      <c r="C10" s="13" t="s">
        <v>24</v>
      </c>
      <c r="D10" s="17" t="s">
        <v>101</v>
      </c>
      <c r="E10" s="14" t="s">
        <v>82</v>
      </c>
      <c r="F10" s="14" t="s">
        <v>96</v>
      </c>
      <c r="G10" s="17" t="s">
        <v>98</v>
      </c>
      <c r="H10" s="17" t="s">
        <v>109</v>
      </c>
      <c r="I10" s="15" t="s">
        <v>99</v>
      </c>
      <c r="J10" s="32"/>
    </row>
    <row r="11" spans="1:10" x14ac:dyDescent="0.15">
      <c r="A11" s="16"/>
      <c r="B11" s="20">
        <f t="shared" ca="1" si="0"/>
        <v>3</v>
      </c>
      <c r="C11" s="13"/>
      <c r="D11" s="17"/>
      <c r="E11" s="17"/>
      <c r="F11" s="17"/>
      <c r="G11" s="17"/>
      <c r="H11" s="17"/>
      <c r="I11" s="15"/>
      <c r="J11" s="32"/>
    </row>
    <row r="12" spans="1:10" x14ac:dyDescent="0.15">
      <c r="A12" s="16"/>
      <c r="B12" s="20">
        <f t="shared" ca="1" si="0"/>
        <v>4</v>
      </c>
      <c r="C12" s="13"/>
      <c r="D12" s="17"/>
      <c r="E12" s="17"/>
      <c r="F12" s="17"/>
      <c r="G12" s="17"/>
      <c r="H12" s="17"/>
      <c r="I12" s="15"/>
      <c r="J12" s="32"/>
    </row>
    <row r="13" spans="1:10" x14ac:dyDescent="0.15">
      <c r="A13" s="16"/>
      <c r="B13" s="20">
        <f t="shared" ca="1" si="0"/>
        <v>5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15">
      <c r="A14" s="16"/>
      <c r="B14" s="20">
        <f t="shared" ca="1" si="0"/>
        <v>6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15">
      <c r="A15" s="16"/>
      <c r="B15" s="20">
        <f t="shared" ca="1" si="0"/>
        <v>7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15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15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15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15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35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C9:C19">
      <formula1>"正常,クライアントエラー,サーバーエラー"</formula1>
    </dataValidation>
    <dataValidation type="list" allowBlank="1" showInputMessage="1" showErrorMessage="1" sqref="I9:I19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zoomScale="85" zoomScaleNormal="85" workbookViewId="0">
      <selection activeCell="B34" sqref="B34"/>
    </sheetView>
  </sheetViews>
  <sheetFormatPr defaultRowHeight="13.5" x14ac:dyDescent="0.15"/>
  <sheetData>
    <row r="1" spans="1:1" x14ac:dyDescent="0.15">
      <c r="A1" t="s">
        <v>26</v>
      </c>
    </row>
    <row r="2" spans="1:1" x14ac:dyDescent="0.15">
      <c r="A2" t="s">
        <v>27</v>
      </c>
    </row>
    <row r="3" spans="1:1" x14ac:dyDescent="0.15">
      <c r="A3" t="s">
        <v>28</v>
      </c>
    </row>
    <row r="4" spans="1:1" x14ac:dyDescent="0.15">
      <c r="A4" t="s">
        <v>29</v>
      </c>
    </row>
    <row r="5" spans="1:1" x14ac:dyDescent="0.15">
      <c r="A5" t="s">
        <v>30</v>
      </c>
    </row>
    <row r="6" spans="1:1" x14ac:dyDescent="0.15">
      <c r="A6" t="s">
        <v>31</v>
      </c>
    </row>
    <row r="7" spans="1:1" x14ac:dyDescent="0.15">
      <c r="A7" t="s">
        <v>32</v>
      </c>
    </row>
    <row r="8" spans="1:1" x14ac:dyDescent="0.15">
      <c r="A8" t="s">
        <v>33</v>
      </c>
    </row>
    <row r="9" spans="1:1" x14ac:dyDescent="0.15">
      <c r="A9" t="s">
        <v>34</v>
      </c>
    </row>
    <row r="10" spans="1:1" x14ac:dyDescent="0.15">
      <c r="A10" t="s">
        <v>35</v>
      </c>
    </row>
    <row r="11" spans="1:1" x14ac:dyDescent="0.15">
      <c r="A11" t="s">
        <v>36</v>
      </c>
    </row>
    <row r="13" spans="1:1" x14ac:dyDescent="0.15">
      <c r="A13" t="s">
        <v>37</v>
      </c>
    </row>
    <row r="14" spans="1:1" x14ac:dyDescent="0.15">
      <c r="A14" t="s">
        <v>38</v>
      </c>
    </row>
    <row r="16" spans="1:1" x14ac:dyDescent="0.15">
      <c r="A16" t="s">
        <v>39</v>
      </c>
    </row>
    <row r="17" spans="1:1" x14ac:dyDescent="0.15">
      <c r="A17" t="s">
        <v>40</v>
      </c>
    </row>
    <row r="18" spans="1:1" x14ac:dyDescent="0.15">
      <c r="A18" t="s">
        <v>41</v>
      </c>
    </row>
    <row r="19" spans="1:1" x14ac:dyDescent="0.15">
      <c r="A19" t="s">
        <v>42</v>
      </c>
    </row>
    <row r="20" spans="1:1" x14ac:dyDescent="0.15">
      <c r="A20" t="s">
        <v>43</v>
      </c>
    </row>
    <row r="21" spans="1:1" x14ac:dyDescent="0.15">
      <c r="A21" t="s">
        <v>44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2" sqref="A2"/>
    </sheetView>
  </sheetViews>
  <sheetFormatPr defaultRowHeight="13.5" x14ac:dyDescent="0.15"/>
  <cols>
    <col min="1" max="1" width="3.75" bestFit="1" customWidth="1"/>
    <col min="2" max="2" width="24.5" customWidth="1"/>
    <col min="3" max="3" width="22.75" bestFit="1" customWidth="1"/>
    <col min="4" max="4" width="11.625" bestFit="1" customWidth="1"/>
    <col min="5" max="5" width="9.875" bestFit="1" customWidth="1"/>
    <col min="6" max="6" width="4.625" bestFit="1" customWidth="1"/>
    <col min="7" max="7" width="11.625" bestFit="1" customWidth="1"/>
    <col min="8" max="8" width="10.25" bestFit="1" customWidth="1"/>
  </cols>
  <sheetData>
    <row r="1" spans="1:8" x14ac:dyDescent="0.15">
      <c r="A1" s="34" t="s">
        <v>86</v>
      </c>
    </row>
    <row r="2" spans="1:8" x14ac:dyDescent="0.15">
      <c r="A2" s="34"/>
    </row>
    <row r="3" spans="1:8" x14ac:dyDescent="0.15">
      <c r="B3" s="38" t="s">
        <v>47</v>
      </c>
      <c r="C3" s="38" t="s">
        <v>48</v>
      </c>
      <c r="D3" s="38" t="s">
        <v>49</v>
      </c>
      <c r="E3" s="38" t="s">
        <v>50</v>
      </c>
      <c r="F3" s="38" t="s">
        <v>51</v>
      </c>
      <c r="G3" s="38" t="s">
        <v>52</v>
      </c>
      <c r="H3" s="38" t="s">
        <v>53</v>
      </c>
    </row>
    <row r="4" spans="1:8" x14ac:dyDescent="0.15">
      <c r="A4" s="39" t="s">
        <v>70</v>
      </c>
      <c r="B4" s="2" t="s">
        <v>54</v>
      </c>
      <c r="C4" s="2" t="s">
        <v>55</v>
      </c>
      <c r="D4" s="2" t="s">
        <v>56</v>
      </c>
      <c r="E4" s="2" t="s">
        <v>57</v>
      </c>
      <c r="F4" s="2">
        <v>1</v>
      </c>
      <c r="G4" s="35" t="s">
        <v>58</v>
      </c>
      <c r="H4" s="2" t="s">
        <v>59</v>
      </c>
    </row>
    <row r="5" spans="1:8" x14ac:dyDescent="0.15">
      <c r="A5" s="39" t="s">
        <v>71</v>
      </c>
      <c r="B5" s="2" t="s">
        <v>60</v>
      </c>
      <c r="C5" s="2" t="s">
        <v>55</v>
      </c>
      <c r="D5" s="2" t="s">
        <v>61</v>
      </c>
      <c r="E5" s="2" t="s">
        <v>57</v>
      </c>
      <c r="F5" s="2">
        <v>5</v>
      </c>
      <c r="G5" s="36" t="s">
        <v>62</v>
      </c>
      <c r="H5" s="37" t="s">
        <v>63</v>
      </c>
    </row>
    <row r="6" spans="1:8" x14ac:dyDescent="0.15">
      <c r="A6" s="39" t="s">
        <v>72</v>
      </c>
      <c r="B6" s="2" t="s">
        <v>64</v>
      </c>
      <c r="C6" s="2" t="s">
        <v>55</v>
      </c>
      <c r="D6" s="2" t="s">
        <v>65</v>
      </c>
      <c r="E6" s="2" t="s">
        <v>57</v>
      </c>
      <c r="F6" s="2">
        <v>10</v>
      </c>
      <c r="G6" s="36" t="s">
        <v>62</v>
      </c>
      <c r="H6" s="2" t="s">
        <v>59</v>
      </c>
    </row>
    <row r="7" spans="1:8" x14ac:dyDescent="0.15">
      <c r="A7" s="39" t="s">
        <v>73</v>
      </c>
      <c r="B7" s="2" t="s">
        <v>66</v>
      </c>
      <c r="C7" s="37" t="s">
        <v>67</v>
      </c>
      <c r="D7" s="2" t="s">
        <v>68</v>
      </c>
      <c r="E7" s="2" t="s">
        <v>57</v>
      </c>
      <c r="F7" s="2">
        <v>1</v>
      </c>
      <c r="G7" s="36" t="s">
        <v>62</v>
      </c>
      <c r="H7" s="2" t="s">
        <v>59</v>
      </c>
    </row>
    <row r="8" spans="1:8" x14ac:dyDescent="0.15">
      <c r="G8" s="33"/>
    </row>
    <row r="9" spans="1:8" x14ac:dyDescent="0.15">
      <c r="G9" s="33"/>
    </row>
    <row r="10" spans="1:8" x14ac:dyDescent="0.15">
      <c r="A10" s="40" t="s">
        <v>87</v>
      </c>
    </row>
    <row r="11" spans="1:8" x14ac:dyDescent="0.15">
      <c r="A11" s="40"/>
    </row>
    <row r="12" spans="1:8" x14ac:dyDescent="0.15">
      <c r="B12" t="s">
        <v>88</v>
      </c>
    </row>
    <row r="13" spans="1:8" x14ac:dyDescent="0.15">
      <c r="B13" t="s">
        <v>74</v>
      </c>
    </row>
    <row r="15" spans="1:8" x14ac:dyDescent="0.15">
      <c r="B15" t="s">
        <v>89</v>
      </c>
    </row>
    <row r="16" spans="1:8" x14ac:dyDescent="0.15">
      <c r="B16" t="s">
        <v>90</v>
      </c>
    </row>
    <row r="18" spans="2:2" x14ac:dyDescent="0.15">
      <c r="B18" t="s">
        <v>69</v>
      </c>
    </row>
    <row r="19" spans="2:2" x14ac:dyDescent="0.15">
      <c r="B19" t="s">
        <v>91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大中項目</vt:lpstr>
      <vt:lpstr>ISUE0101</vt:lpstr>
      <vt:lpstr>ISUE0102</vt:lpstr>
      <vt:lpstr>試験環境</vt:lpstr>
      <vt:lpstr>試験データ</vt:lpstr>
      <vt:lpstr>ISUE0101!Print_Titles</vt:lpstr>
      <vt:lpstr>ISUE0102!Print_Titles</vt:lpstr>
      <vt:lpstr>大中項目!Print_Titles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2018-12-18T01:26:46Z</dcterms:created>
  <dcterms:modified xsi:type="dcterms:W3CDTF">2018-12-18T01:27:12Z</dcterms:modified>
</cp:coreProperties>
</file>