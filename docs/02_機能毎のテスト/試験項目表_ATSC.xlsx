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_yggd\macchinetta-cloud-functionaltest\docs\02_機能毎のテスト\"/>
    </mc:Choice>
  </mc:AlternateContent>
  <bookViews>
    <workbookView xWindow="1440" yWindow="3468" windowWidth="25020" windowHeight="8340" activeTab="1"/>
  </bookViews>
  <sheets>
    <sheet name="大中項目" sheetId="1" r:id="rId1"/>
    <sheet name="ATSC01" sheetId="6" r:id="rId2"/>
  </sheets>
  <definedNames>
    <definedName name="_xlnm.Print_Titles" localSheetId="1">ATSC01!$1:$8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D3" i="6" l="1"/>
  <c r="D2" i="6"/>
  <c r="A5" i="1"/>
  <c r="B9" i="6"/>
  <c r="C5" i="1" l="1"/>
  <c r="C2" i="6" l="1"/>
</calcChain>
</file>

<file path=xl/sharedStrings.xml><?xml version="1.0" encoding="utf-8"?>
<sst xmlns="http://schemas.openxmlformats.org/spreadsheetml/2006/main" count="38" uniqueCount="37">
  <si>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</si>
  <si>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</si>
  <si>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</si>
  <si>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</si>
  <si>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</si>
  <si>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</si>
  <si>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</si>
  <si>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</si>
  <si>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</si>
  <si>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</si>
  <si>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</si>
  <si>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</si>
  <si>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</si>
  <si>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</si>
  <si>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</si>
  <si>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</si>
  <si>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</si>
  <si>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</si>
  <si>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</si>
  <si>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</si>
  <si>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</si>
  <si>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</si>
  <si>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総件数</t>
    <rPh sb="0" eb="3">
      <t>ソウケンスウ</t>
    </rPh>
    <phoneticPr fontId="2"/>
  </si>
  <si>
    <t>ATSC</t>
    <phoneticPr fontId="2"/>
  </si>
  <si>
    <t>オートスケーリングの利用</t>
    <rPh sb="10" eb="12">
      <t>リヨウ</t>
    </rPh>
    <phoneticPr fontId="2"/>
  </si>
  <si>
    <t>CloudWatchに対し、オートスケーリングのトリガとして検知可能なメトリクス値が送信できること。</t>
    <rPh sb="11" eb="12">
      <t>タイ</t>
    </rPh>
    <rPh sb="30" eb="32">
      <t>ケンチ</t>
    </rPh>
    <rPh sb="32" eb="34">
      <t>カノウ</t>
    </rPh>
    <rPh sb="40" eb="41">
      <t>アタイ</t>
    </rPh>
    <rPh sb="42" eb="44">
      <t>ソウシン</t>
    </rPh>
    <phoneticPr fontId="2"/>
  </si>
  <si>
    <t>アプリケーションのヒープ最大値送信をトリガとし、オートスケーリングの代用としてSNS通知によるシュミレートが可能であることを確認する。</t>
    <rPh sb="12" eb="15">
      <t>サイダイチ</t>
    </rPh>
    <rPh sb="15" eb="17">
      <t>ソウシン</t>
    </rPh>
    <rPh sb="34" eb="36">
      <t>ダイヨウ</t>
    </rPh>
    <rPh sb="42" eb="44">
      <t>ツウチ</t>
    </rPh>
    <rPh sb="54" eb="56">
      <t>カノウ</t>
    </rPh>
    <rPh sb="62" eb="64">
      <t>カクニン</t>
    </rPh>
    <phoneticPr fontId="2"/>
  </si>
  <si>
    <t>ATSC0101</t>
    <phoneticPr fontId="2"/>
  </si>
  <si>
    <t>正常</t>
  </si>
  <si>
    <t>アラームが発生している状況下でメトリクスを送信しても、新規通知が行われない。
すなわち、試験実施後はアラームがOK状態となるまでは連続実施は行わないこと。</t>
    <phoneticPr fontId="2"/>
  </si>
  <si>
    <t>Selenium:○</t>
  </si>
  <si>
    <t>メトリクスのしきい値超え発生時、オートスケーリング実施の代用として、CloudWatchアラームによる通知が確認できること。</t>
    <rPh sb="9" eb="11">
      <t>チゴ</t>
    </rPh>
    <rPh sb="12" eb="15">
      <t>ハッセイジ</t>
    </rPh>
    <rPh sb="25" eb="27">
      <t>ジッシ</t>
    </rPh>
    <rPh sb="28" eb="30">
      <t>ダイヨウ</t>
    </rPh>
    <rPh sb="51" eb="53">
      <t>ツウチ</t>
    </rPh>
    <rPh sb="54" eb="56">
      <t>カクニン</t>
    </rPh>
    <phoneticPr fontId="2"/>
  </si>
  <si>
    <t>上記特記事項によるAWSリージョンのセットアップが必要。
試験実施前は上記特記事項によるアラームが発生していないこと。</t>
    <rPh sb="0" eb="2">
      <t>ジョウキ</t>
    </rPh>
    <rPh sb="2" eb="6">
      <t>トッキジコウ</t>
    </rPh>
    <rPh sb="25" eb="27">
      <t>ヒツヨウ</t>
    </rPh>
    <rPh sb="29" eb="34">
      <t>シケンジッシマエ</t>
    </rPh>
    <rPh sb="35" eb="37">
      <t>ジョウキ</t>
    </rPh>
    <rPh sb="37" eb="41">
      <t>トッキジコウ</t>
    </rPh>
    <rPh sb="49" eb="51">
      <t>ハッセイ</t>
    </rPh>
    <phoneticPr fontId="2"/>
  </si>
  <si>
    <t>東京リージョンに対し、以下のCloudWatchアラーム、SNS、SQSを設定する。
■アラーム名:TestAlarmNotification、TestAlarmNotification-ci
  名前空間：localまたはci
  しきい値:1 分間 に対する HeapMemory.Max &gt; 0
  ディメンション:AutoScalingGroupName = atscGroup, instanceId = EC2外：PCのIPアドレス、あるいは EC2のinstanceId
 統計:最大 (Maximum)
  欠落データの処理方法:notBreaching
■しきい値超え（0以上のヒープサイズ送信時に必ず超える設定）のSNS通知トピックARN：arn:aws:sns:ap-northeast-1:905391819229:TEST_CWALM
■SNSから転送されるSQSスタンダードキューARN：arn:aws:sqs:ap-northeast-1:905391819229:TESTAutoScaleNotification</t>
    <rPh sb="0" eb="2">
      <t>トウキョウ</t>
    </rPh>
    <rPh sb="8" eb="9">
      <t>タイ</t>
    </rPh>
    <rPh sb="11" eb="13">
      <t>イカ</t>
    </rPh>
    <rPh sb="37" eb="39">
      <t>セッテイ</t>
    </rPh>
    <rPh sb="48" eb="49">
      <t>メイ</t>
    </rPh>
    <rPh sb="99" eb="103">
      <t>ナマエクウカン</t>
    </rPh>
    <rPh sb="211" eb="212">
      <t>ガイ</t>
    </rPh>
    <rPh sb="291" eb="293">
      <t>チゴ</t>
    </rPh>
    <rPh sb="296" eb="298">
      <t>イジョウ</t>
    </rPh>
    <rPh sb="305" eb="308">
      <t>ソウシンジ</t>
    </rPh>
    <rPh sb="309" eb="310">
      <t>カナラ</t>
    </rPh>
    <rPh sb="311" eb="312">
      <t>コ</t>
    </rPh>
    <rPh sb="314" eb="316">
      <t>セッテイ</t>
    </rPh>
    <rPh sb="321" eb="323">
      <t>ツウチ</t>
    </rPh>
    <rPh sb="388" eb="390">
      <t>テンソウ</t>
    </rPh>
    <phoneticPr fontId="2"/>
  </si>
  <si>
    <t>試験条件詳細【実施条件】</t>
    <phoneticPr fontId="8"/>
  </si>
  <si>
    <t>CloudWatchによる通知監視はしきい値超えが生じた場合でも即時にアラームを検知・通知しないため、1分間の監視間隔で最大3分の通知到着を待つ。</t>
    <phoneticPr fontId="2"/>
  </si>
  <si>
    <t>画面上にしきい値超えによる通知内容を確認する。
・状態変更：アラーム
・理由：しきい値超え
・メトリクス名：HeapMemory.Max
・名前空間：localあるいはci
・ディメンジョン：
  - AutoScalingGroupName: atscGroup</t>
    <rPh sb="0" eb="2">
      <t>ガメン</t>
    </rPh>
    <rPh sb="2" eb="3">
      <t>ジョウ</t>
    </rPh>
    <rPh sb="7" eb="8">
      <t>チ</t>
    </rPh>
    <rPh sb="8" eb="9">
      <t>ゴ</t>
    </rPh>
    <rPh sb="13" eb="15">
      <t>ツウチ</t>
    </rPh>
    <rPh sb="15" eb="17">
      <t>ナイヨウ</t>
    </rPh>
    <rPh sb="18" eb="20">
      <t>カクニン</t>
    </rPh>
    <rPh sb="25" eb="29">
      <t>ジョウタイヘンコウ</t>
    </rPh>
    <rPh sb="36" eb="38">
      <t>リユウ</t>
    </rPh>
    <rPh sb="42" eb="44">
      <t>チゴ</t>
    </rPh>
    <rPh sb="52" eb="53">
      <t>メイ</t>
    </rPh>
    <rPh sb="70" eb="74">
      <t>ナマエクウカン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</si>
</sst>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4" borderId="5" xfId="0" applyFill="1" applyBorder="1" applyAlignment="1">
      <alignment horizontal="center" vertical="top"/>
    </xf>
    <xf numFmtId="0" fontId="0" fillId="0" borderId="1" xfId="0" applyNumberFormat="1" applyBorder="1" applyAlignment="1">
      <alignment horizontal="left" vertical="top" wrapText="1"/>
    </xf>
    <xf numFmtId="176" fontId="6" fillId="0" borderId="1" xfId="2" applyNumberFormat="1" applyBorder="1" applyAlignment="1">
      <alignment horizontal="center" vertical="top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5" fillId="4" borderId="4" xfId="1" applyFill="1" applyBorder="1" applyAlignment="1" applyProtection="1">
      <alignment horizontal="center" vertical="center"/>
    </xf>
    <xf numFmtId="0" fontId="5" fillId="4" borderId="8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3" xfId="2" applyFill="1" applyBorder="1" applyAlignment="1">
      <alignment horizontal="center" vertical="center"/>
    </xf>
    <xf numFmtId="0" fontId="7" fillId="3" borderId="5" xfId="2" applyFont="1" applyFill="1" applyBorder="1" applyAlignment="1">
      <alignment horizontal="left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49" fontId="6" fillId="0" borderId="5" xfId="2" applyNumberFormat="1" applyBorder="1" applyAlignment="1">
      <alignment horizontal="left" vertical="top" wrapText="1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7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zoomScale="80" zoomScaleNormal="80" workbookViewId="0">
      <pane ySplit="4" topLeftCell="A5" activePane="bottomLeft" state="frozen"/>
      <selection pane="bottomLeft" activeCell="B11" sqref="B11"/>
    </sheetView>
  </sheetViews>
  <sheetFormatPr defaultRowHeight="13.2" x14ac:dyDescent="0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 x14ac:dyDescent="0.2">
      <c r="A1" s="1" t="s">
        <v>0</v>
      </c>
      <c r="B1" s="2" t="s">
        <v>23</v>
      </c>
      <c r="C1" s="19" t="s">
        <v>22</v>
      </c>
    </row>
    <row r="2" spans="1:4" x14ac:dyDescent="0.2">
      <c r="A2" s="3" t="s">
        <v>1</v>
      </c>
      <c r="B2" s="2" t="s">
        <v>24</v>
      </c>
      <c r="C2" s="2"/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ht="40.799999999999997" customHeight="1" x14ac:dyDescent="0.2">
      <c r="A5" s="21" t="str">
        <f>IF(B5="","",($B$1&amp;TEXT(IF(B5="","",COUNTA($B$5:B5)),"00")))</f>
        <v>ATSC01</v>
      </c>
      <c r="B5" s="22" t="s">
        <v>25</v>
      </c>
      <c r="C5" s="18" t="str">
        <f>IF(B5="",($B$1&amp;TEXT(IF(B5="",COUNTA($B$5:B5),1),"00")),A5)&amp;IF(B5&lt;&gt;"",TEXT(1,"00"),TEXT(IF(A5&lt;&gt;"",1,RIGHT(C4,2)+1),"00"))</f>
        <v>ATSC0101</v>
      </c>
      <c r="D5" s="5" t="s">
        <v>26</v>
      </c>
    </row>
  </sheetData>
  <phoneticPr fontId="2"/>
  <conditionalFormatting sqref="B5">
    <cfRule type="expression" dxfId="6" priority="40">
      <formula>B5&lt;&gt;""</formula>
    </cfRule>
  </conditionalFormatting>
  <conditionalFormatting sqref="A5">
    <cfRule type="expression" dxfId="5" priority="30">
      <formula>A5&lt;&gt;""</formula>
    </cfRule>
  </conditionalFormatting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tabSelected="1" zoomScale="70" zoomScaleNormal="70" workbookViewId="0">
      <pane ySplit="8" topLeftCell="A9" activePane="bottomLeft" state="frozen"/>
      <selection pane="bottomLeft" activeCell="G9" sqref="G9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24" t="s">
        <v>6</v>
      </c>
      <c r="B1" s="25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26" t="s">
        <v>19</v>
      </c>
      <c r="B2" s="27"/>
      <c r="C2" s="30">
        <f>COUNTA($D$9:$D$65495)</f>
        <v>1</v>
      </c>
      <c r="D2" s="16" t="str">
        <f>大中項目!B1</f>
        <v>ATSC</v>
      </c>
      <c r="E2" s="15"/>
      <c r="F2" s="9"/>
      <c r="G2" s="9"/>
      <c r="H2" s="8"/>
    </row>
    <row r="3" spans="1:10" x14ac:dyDescent="0.2">
      <c r="A3" s="28"/>
      <c r="B3" s="29"/>
      <c r="C3" s="31"/>
      <c r="D3" s="16" t="str">
        <f>大中項目!B2</f>
        <v>オートスケーリングの利用</v>
      </c>
      <c r="E3" s="15"/>
      <c r="F3" s="9"/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32" t="s">
        <v>13</v>
      </c>
      <c r="B5" s="33"/>
      <c r="C5" s="33"/>
      <c r="D5" s="33"/>
      <c r="E5" s="33"/>
      <c r="F5" s="33"/>
      <c r="G5" s="33"/>
      <c r="H5" s="33"/>
      <c r="I5" s="34"/>
    </row>
    <row r="6" spans="1:10" ht="128.4" customHeight="1" x14ac:dyDescent="0.2">
      <c r="A6" s="35" t="s">
        <v>33</v>
      </c>
      <c r="B6" s="36"/>
      <c r="C6" s="36"/>
      <c r="D6" s="36"/>
      <c r="E6" s="36"/>
      <c r="F6" s="36"/>
      <c r="G6" s="36"/>
      <c r="H6" s="36"/>
      <c r="I6" s="37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20</v>
      </c>
      <c r="C8" s="6" t="s">
        <v>14</v>
      </c>
      <c r="D8" s="6" t="s">
        <v>15</v>
      </c>
      <c r="E8" s="6" t="s">
        <v>16</v>
      </c>
      <c r="F8" s="7" t="s">
        <v>21</v>
      </c>
      <c r="G8" s="7" t="s">
        <v>34</v>
      </c>
      <c r="H8" s="6" t="s">
        <v>17</v>
      </c>
      <c r="I8" s="6" t="s">
        <v>18</v>
      </c>
    </row>
    <row r="9" spans="1:10" ht="105.6" x14ac:dyDescent="0.2">
      <c r="A9" s="23" t="s">
        <v>27</v>
      </c>
      <c r="B9" s="17">
        <f t="shared" ref="B9" ca="1" si="0">IF(A9&lt;&gt;"",1,INDIRECT(ADDRESS(ROW(B9)-1,COLUMN(B9),4))+1)</f>
        <v>1</v>
      </c>
      <c r="C9" s="12" t="s">
        <v>28</v>
      </c>
      <c r="D9" s="13" t="s">
        <v>31</v>
      </c>
      <c r="E9" s="13" t="s">
        <v>32</v>
      </c>
      <c r="F9" s="13" t="s">
        <v>29</v>
      </c>
      <c r="G9" s="13" t="s">
        <v>35</v>
      </c>
      <c r="H9" s="13" t="s">
        <v>36</v>
      </c>
      <c r="I9" s="14" t="s">
        <v>30</v>
      </c>
      <c r="J9" s="20"/>
    </row>
  </sheetData>
  <mergeCells count="5">
    <mergeCell ref="A1:B1"/>
    <mergeCell ref="A2:B3"/>
    <mergeCell ref="C2:C3"/>
    <mergeCell ref="A5:I5"/>
    <mergeCell ref="A6:I6"/>
  </mergeCells>
  <phoneticPr fontId="2"/>
  <conditionalFormatting sqref="B9">
    <cfRule type="expression" dxfId="4" priority="106">
      <formula>B9&lt;&gt;""</formula>
    </cfRule>
  </conditionalFormatting>
  <conditionalFormatting sqref="B9">
    <cfRule type="expression" dxfId="3" priority="34">
      <formula>B9&lt;&gt;""</formula>
    </cfRule>
  </conditionalFormatting>
  <conditionalFormatting sqref="B9">
    <cfRule type="expression" dxfId="2" priority="33">
      <formula>B9&lt;&gt;""</formula>
    </cfRule>
  </conditionalFormatting>
  <conditionalFormatting sqref="B9">
    <cfRule type="expression" dxfId="1" priority="32">
      <formula>B9&lt;&gt;""</formula>
    </cfRule>
  </conditionalFormatting>
  <conditionalFormatting sqref="B9">
    <cfRule type="expression" dxfId="0" priority="31">
      <formula>B9&lt;&gt;""</formula>
    </cfRule>
  </conditionalFormatting>
  <dataValidations count="2">
    <dataValidation type="list" allowBlank="1" showInputMessage="1" showErrorMessage="1" sqref="I9">
      <formula1>"Selenium:○,Seleniumu:△,Selenium:×,JUnit:○,JUnit:△,Junit:×,手動実行,机上"</formula1>
    </dataValidation>
    <dataValidation type="list" allowBlank="1" showInputMessage="1" showErrorMessage="1" sqref="C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ATSC01</vt:lpstr>
      <vt:lpstr>ATSC01!Print_Titles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2017-11-15T17:13:26Z</dcterms:modified>
</cp:coreProperties>
</file>