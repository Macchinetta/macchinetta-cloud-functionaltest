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06.git\macchinetta-cloud-functionaltest\docs\02_機能毎のテスト\"/>
    </mc:Choice>
  </mc:AlternateContent>
  <bookViews>
    <workbookView xWindow="1440" yWindow="3468" windowWidth="25020" windowHeight="8340"/>
  </bookViews>
  <sheets>
    <sheet name="大中項目" sheetId="1" r:id="rId1"/>
    <sheet name="CAAB01" sheetId="6" r:id="rId2"/>
    <sheet name="CAAB02" sheetId="7" r:id="rId3"/>
    <sheet name="CAAB03" sheetId="8" r:id="rId4"/>
    <sheet name="CAAB04" sheetId="9" r:id="rId5"/>
  </sheets>
  <definedNames>
    <definedName name="_xlnm.Print_Titles" localSheetId="1">CAAB01!$1:$8</definedName>
    <definedName name="_xlnm.Print_Titles" localSheetId="2">CAAB02!$1:$8</definedName>
    <definedName name="_xlnm.Print_Titles" localSheetId="3">CAAB03!$1:$8</definedName>
    <definedName name="_xlnm.Print_Titles" localSheetId="4">CAAB04!$1:$8</definedName>
    <definedName name="_xlnm.Print_Titles" localSheetId="0">大中項目!$1:$4</definedName>
  </definedNames>
  <calcPr calcId="152511"/>
</workbook>
</file>

<file path=xl/calcChain.xml><?xml version="1.0" encoding="utf-8"?>
<calcChain xmlns="http://schemas.openxmlformats.org/spreadsheetml/2006/main">
  <c r="B9" i="9" l="1"/>
  <c r="A6" i="1"/>
  <c r="D3" i="9"/>
  <c r="D2" i="9"/>
  <c r="C2" i="9"/>
  <c r="D3" i="8"/>
  <c r="D2" i="8"/>
  <c r="C2" i="8"/>
  <c r="D3" i="7"/>
  <c r="D2" i="7"/>
  <c r="C2" i="7"/>
  <c r="B9" i="8"/>
  <c r="B9" i="7"/>
  <c r="D3" i="6" l="1"/>
  <c r="D2" i="6"/>
  <c r="A7" i="1"/>
  <c r="A8" i="1"/>
  <c r="A5" i="1"/>
  <c r="B9" i="6"/>
  <c r="C5" i="1" l="1"/>
  <c r="C6" i="1" l="1"/>
  <c r="C7" i="1" l="1"/>
  <c r="C8" i="1" l="1"/>
  <c r="C2" i="6"/>
  <c r="C2" i="1" s="1"/>
</calcChain>
</file>

<file path=xl/sharedStrings.xml><?xml version="1.0" encoding="utf-8"?>
<sst xmlns="http://schemas.openxmlformats.org/spreadsheetml/2006/main" count="133" uniqueCount="69">
  <si>
    <t>機能ID</t>
    <rPh sb="0" eb="2">
      <t>キノウ</t>
    </rPh>
    <phoneticPr fontId="2"/>
  </si>
  <si>
    <t>機能名</t>
    <rPh sb="0" eb="3">
      <t>キノウメイ</t>
    </rPh>
    <phoneticPr fontId="2"/>
  </si>
  <si>
    <t>大項目ID</t>
    <rPh sb="0" eb="3">
      <t>ダイコウモク</t>
    </rPh>
    <phoneticPr fontId="2"/>
  </si>
  <si>
    <t>大項目</t>
    <rPh sb="0" eb="3">
      <t>ダイコウモク</t>
    </rPh>
    <phoneticPr fontId="2"/>
  </si>
  <si>
    <t>中項目ID</t>
    <rPh sb="0" eb="3">
      <t>チュウコウモク</t>
    </rPh>
    <phoneticPr fontId="2"/>
  </si>
  <si>
    <t>中項目</t>
    <rPh sb="0" eb="3">
      <t>チュウコウモク</t>
    </rPh>
    <phoneticPr fontId="2"/>
  </si>
  <si>
    <t>試験項目表</t>
    <rPh sb="0" eb="2">
      <t>シケン</t>
    </rPh>
    <rPh sb="2" eb="4">
      <t>コウモク</t>
    </rPh>
    <phoneticPr fontId="8"/>
  </si>
  <si>
    <t>件数</t>
    <rPh sb="0" eb="2">
      <t>ケンスウ</t>
    </rPh>
    <phoneticPr fontId="8"/>
  </si>
  <si>
    <t>機能ID/機能名</t>
    <rPh sb="0" eb="2">
      <t>キノウ</t>
    </rPh>
    <rPh sb="5" eb="7">
      <t>キノウ</t>
    </rPh>
    <rPh sb="7" eb="8">
      <t>メイ</t>
    </rPh>
    <phoneticPr fontId="8"/>
  </si>
  <si>
    <t>大項目ID/大項目名</t>
    <rPh sb="0" eb="3">
      <t>ダイコウモク</t>
    </rPh>
    <rPh sb="6" eb="9">
      <t>ダイコウモク</t>
    </rPh>
    <rPh sb="9" eb="10">
      <t>メイ</t>
    </rPh>
    <phoneticPr fontId="8"/>
  </si>
  <si>
    <t>作成者/作成日</t>
    <phoneticPr fontId="8"/>
  </si>
  <si>
    <t>更新者/更新日</t>
    <rPh sb="0" eb="3">
      <t>コウシンシャ</t>
    </rPh>
    <rPh sb="4" eb="7">
      <t>コウシンビ</t>
    </rPh>
    <phoneticPr fontId="8"/>
  </si>
  <si>
    <t>レビュー実施者/
レビュー日</t>
    <rPh sb="13" eb="14">
      <t>ビ</t>
    </rPh>
    <phoneticPr fontId="8"/>
  </si>
  <si>
    <t>特記事項</t>
    <rPh sb="0" eb="2">
      <t>トッキ</t>
    </rPh>
    <rPh sb="2" eb="4">
      <t>ジコウ</t>
    </rPh>
    <phoneticPr fontId="8"/>
  </si>
  <si>
    <t>特になし</t>
    <rPh sb="0" eb="1">
      <t>トク</t>
    </rPh>
    <phoneticPr fontId="2"/>
  </si>
  <si>
    <t>分類</t>
    <rPh sb="0" eb="2">
      <t>ブンルイ</t>
    </rPh>
    <phoneticPr fontId="2"/>
  </si>
  <si>
    <t>試験項目</t>
    <rPh sb="0" eb="2">
      <t>シケン</t>
    </rPh>
    <rPh sb="2" eb="4">
      <t>コウモク</t>
    </rPh>
    <phoneticPr fontId="2"/>
  </si>
  <si>
    <t>試験条件</t>
    <rPh sb="0" eb="2">
      <t>シケン</t>
    </rPh>
    <rPh sb="2" eb="4">
      <t>ジョウケン</t>
    </rPh>
    <phoneticPr fontId="2"/>
  </si>
  <si>
    <t>確認内容</t>
    <rPh sb="0" eb="2">
      <t>カクニン</t>
    </rPh>
    <rPh sb="2" eb="4">
      <t>ナイヨウ</t>
    </rPh>
    <phoneticPr fontId="2"/>
  </si>
  <si>
    <t>確認方法</t>
    <rPh sb="0" eb="2">
      <t>カクニン</t>
    </rPh>
    <rPh sb="2" eb="4">
      <t>ホウホウ</t>
    </rPh>
    <phoneticPr fontId="2"/>
  </si>
  <si>
    <t>大中項目へ</t>
    <rPh sb="0" eb="2">
      <t>ダイチュウ</t>
    </rPh>
    <rPh sb="2" eb="4">
      <t>コウモク</t>
    </rPh>
    <phoneticPr fontId="2"/>
  </si>
  <si>
    <t>Case
ID</t>
    <phoneticPr fontId="2"/>
  </si>
  <si>
    <t>試験条件詳細【事前条件】</t>
    <rPh sb="7" eb="9">
      <t>ジゼン</t>
    </rPh>
    <rPh sb="9" eb="11">
      <t>ジョウケン</t>
    </rPh>
    <phoneticPr fontId="8"/>
  </si>
  <si>
    <t>試験条件詳細【実施条件】</t>
    <phoneticPr fontId="8"/>
  </si>
  <si>
    <t>総件数</t>
    <rPh sb="0" eb="3">
      <t>ソウケンスウ</t>
    </rPh>
    <phoneticPr fontId="2"/>
  </si>
  <si>
    <t>キャッシュの抽象化（Cache Abstraction）</t>
    <phoneticPr fontId="2"/>
  </si>
  <si>
    <t>CAAB</t>
    <phoneticPr fontId="2"/>
  </si>
  <si>
    <t>Spring Cache Abstractionの設定</t>
    <phoneticPr fontId="2"/>
  </si>
  <si>
    <t>キャッシュするデータの選択</t>
  </si>
  <si>
    <t>キャッシュするデータの選択</t>
    <phoneticPr fontId="2"/>
  </si>
  <si>
    <t>キャッシュしたデータの削除</t>
  </si>
  <si>
    <t>キャッシュしたデータの削除</t>
    <phoneticPr fontId="2"/>
  </si>
  <si>
    <t>目的別に接続先Redisを指定する</t>
    <phoneticPr fontId="2"/>
  </si>
  <si>
    <t>ガイドラインに記載のキャッシュマネージャーの設定でRedisを使用したキャッシュが行えることの確認</t>
    <rPh sb="7" eb="9">
      <t>キサイ</t>
    </rPh>
    <rPh sb="31" eb="33">
      <t>シヨウ</t>
    </rPh>
    <rPh sb="41" eb="42">
      <t>オコナ</t>
    </rPh>
    <rPh sb="47" eb="49">
      <t>カクニン</t>
    </rPh>
    <phoneticPr fontId="2"/>
  </si>
  <si>
    <t>ガイドラインに記載の方法でキャッシュするデータを選択出来ることの確認</t>
    <rPh sb="7" eb="9">
      <t>キサイ</t>
    </rPh>
    <rPh sb="10" eb="12">
      <t>ホウホウ</t>
    </rPh>
    <rPh sb="24" eb="26">
      <t>センタク</t>
    </rPh>
    <rPh sb="26" eb="28">
      <t>デキ</t>
    </rPh>
    <rPh sb="32" eb="34">
      <t>カクニン</t>
    </rPh>
    <phoneticPr fontId="2"/>
  </si>
  <si>
    <t>ガイドラインに記載の方法でキャッシュしたデータを削除出来ることの確認</t>
    <rPh sb="7" eb="9">
      <t>キサイ</t>
    </rPh>
    <rPh sb="10" eb="12">
      <t>ホウホウ</t>
    </rPh>
    <rPh sb="24" eb="26">
      <t>サクジョ</t>
    </rPh>
    <rPh sb="26" eb="28">
      <t>デキ</t>
    </rPh>
    <rPh sb="32" eb="34">
      <t>カクニン</t>
    </rPh>
    <phoneticPr fontId="2"/>
  </si>
  <si>
    <t>ガイドラインに記載のキャッシュマネージャーの設定で独自プロパティキーでのRedis接続が行えることの確認</t>
    <rPh sb="25" eb="27">
      <t>ドクジ</t>
    </rPh>
    <rPh sb="41" eb="43">
      <t>セツゾク</t>
    </rPh>
    <rPh sb="44" eb="45">
      <t>オコナ</t>
    </rPh>
    <rPh sb="50" eb="52">
      <t>カクニン</t>
    </rPh>
    <phoneticPr fontId="2"/>
  </si>
  <si>
    <t>CAAB0101</t>
    <phoneticPr fontId="2"/>
  </si>
  <si>
    <t>正常</t>
  </si>
  <si>
    <t>キャッシュマネージャーとしてRedisCacheManagerを使用出来ること。</t>
    <rPh sb="32" eb="34">
      <t>シヨウ</t>
    </rPh>
    <rPh sb="34" eb="36">
      <t>デキ</t>
    </rPh>
    <phoneticPr fontId="2"/>
  </si>
  <si>
    <t>XXXX-env.xmlに
&lt;bean id="cacheManager" class="org.springframework.data.redis.cache.RedisCacheManager" c:redisOperations-ref="redisTemplate" /&gt;
を指定する。</t>
    <rPh sb="143" eb="145">
      <t>シテイ</t>
    </rPh>
    <phoneticPr fontId="2"/>
  </si>
  <si>
    <t>@Cacheableを付与したサービスクラスのメソッドを実行する。</t>
    <rPh sb="11" eb="13">
      <t>フヨ</t>
    </rPh>
    <rPh sb="28" eb="30">
      <t>ジッコウ</t>
    </rPh>
    <phoneticPr fontId="2"/>
  </si>
  <si>
    <t>@Cacheableのkey属性に指定したキーでRedisからキャッシュしたオブジェクトが取得できること。</t>
    <rPh sb="14" eb="16">
      <t>ゾクセイ</t>
    </rPh>
    <rPh sb="17" eb="19">
      <t>シテイ</t>
    </rPh>
    <rPh sb="45" eb="47">
      <t>シュトク</t>
    </rPh>
    <phoneticPr fontId="2"/>
  </si>
  <si>
    <t>Selenium:○</t>
  </si>
  <si>
    <t>キャッシュマネージャとしてRedisCacheManagerを使用し、接続設定はspring bootデフォルトのプロパティを指定して行う。</t>
    <rPh sb="31" eb="33">
      <t>シヨウ</t>
    </rPh>
    <rPh sb="35" eb="37">
      <t>セツゾク</t>
    </rPh>
    <rPh sb="37" eb="39">
      <t>セッテイ</t>
    </rPh>
    <rPh sb="63" eb="65">
      <t>シテイ</t>
    </rPh>
    <rPh sb="67" eb="68">
      <t>オコナ</t>
    </rPh>
    <phoneticPr fontId="2"/>
  </si>
  <si>
    <t>Spring Cache Abstractionの設定</t>
    <phoneticPr fontId="2"/>
  </si>
  <si>
    <t>CAAB01</t>
  </si>
  <si>
    <t>CAAB02</t>
  </si>
  <si>
    <t>CAAB0201</t>
    <phoneticPr fontId="2"/>
  </si>
  <si>
    <t>DBデータを参照するサービスクラスのメソッドに@Cacheableアノテーションを付与し、実行する。</t>
    <rPh sb="6" eb="8">
      <t>サンショウ</t>
    </rPh>
    <rPh sb="41" eb="43">
      <t>フヨ</t>
    </rPh>
    <rPh sb="45" eb="47">
      <t>ジッコウ</t>
    </rPh>
    <phoneticPr fontId="2"/>
  </si>
  <si>
    <t xml:space="preserve">サービスクラスに@CacheConfigアノテーション
を付与する。
@CacheConfig(cacheNames = "members")
public class MemberUpdateServiceImpl implements MemberUpdateService
DBデータを参照するメソッドに@Cacheableアノテーションを付与する。
@Cacheable(key = "'member/' + #customerNo")
public Member findMember(String customerNo)
キャッシュキーとしてメソッド引数のcustomerNoを指定する。
</t>
    <rPh sb="29" eb="31">
      <t>フヨ</t>
    </rPh>
    <rPh sb="147" eb="149">
      <t>サンショウ</t>
    </rPh>
    <rPh sb="174" eb="176">
      <t>フヨ</t>
    </rPh>
    <rPh sb="283" eb="285">
      <t>ヒキスウ</t>
    </rPh>
    <rPh sb="297" eb="299">
      <t>シテイ</t>
    </rPh>
    <phoneticPr fontId="2"/>
  </si>
  <si>
    <t>実行したメソッドの戻り値のオブジェクトがRedisにキャッシュされること。</t>
    <rPh sb="0" eb="2">
      <t>ジッコウ</t>
    </rPh>
    <rPh sb="9" eb="10">
      <t>モド</t>
    </rPh>
    <rPh sb="11" eb="12">
      <t>チ</t>
    </rPh>
    <phoneticPr fontId="2"/>
  </si>
  <si>
    <t>CAAB03</t>
  </si>
  <si>
    <t>CAAB0301</t>
    <phoneticPr fontId="2"/>
  </si>
  <si>
    <t>@CacheEvictアノテーションを使用したキャッシュするデータの選択が行えること</t>
    <rPh sb="19" eb="21">
      <t>シヨウ</t>
    </rPh>
    <rPh sb="34" eb="36">
      <t>センタク</t>
    </rPh>
    <rPh sb="37" eb="38">
      <t>オコナ</t>
    </rPh>
    <phoneticPr fontId="2"/>
  </si>
  <si>
    <t>@Cacheableアノテーションを使用したキャッシュするデータの選択が行えること</t>
    <rPh sb="18" eb="20">
      <t>シヨウ</t>
    </rPh>
    <rPh sb="33" eb="35">
      <t>センタク</t>
    </rPh>
    <rPh sb="36" eb="37">
      <t>オコナ</t>
    </rPh>
    <phoneticPr fontId="2"/>
  </si>
  <si>
    <t>DBデータを更新するサービスクラスのメソッドに@CacheEvictアノテーションを付与し、実行する。</t>
    <rPh sb="6" eb="8">
      <t>コウシン</t>
    </rPh>
    <rPh sb="42" eb="44">
      <t>フヨ</t>
    </rPh>
    <rPh sb="46" eb="48">
      <t>ジッコウ</t>
    </rPh>
    <phoneticPr fontId="2"/>
  </si>
  <si>
    <t xml:space="preserve">サービスクラスに@CacheConfigアノテーション
を付与する。
@CacheConfig(cacheNames = "members")
public class MemberUpdateServiceImpl implements MemberUpdateService
DBデータを参照するメソッドに@CacheEvictアノテーションを付与する。
@CacheEvict(key = "'member/' + #member.customerNo")
public Member updateMember(Member member) 
キャッシュキーとしてメソッド引数のcustomerNoを指定する。
</t>
    <rPh sb="29" eb="31">
      <t>フヨ</t>
    </rPh>
    <rPh sb="147" eb="149">
      <t>サンショウ</t>
    </rPh>
    <rPh sb="175" eb="177">
      <t>フヨ</t>
    </rPh>
    <rPh sb="291" eb="293">
      <t>ヒキスウ</t>
    </rPh>
    <rPh sb="305" eb="307">
      <t>シテイ</t>
    </rPh>
    <phoneticPr fontId="2"/>
  </si>
  <si>
    <t>@CacheEvictアノテーションを付与したサービスクラスのメソッドを実行する。</t>
    <phoneticPr fontId="2"/>
  </si>
  <si>
    <t>@Cacheableアノテーションを付与したサービスクラスのメソッドを実行する。</t>
    <phoneticPr fontId="2"/>
  </si>
  <si>
    <t>実行したメソッドの引数に対応するRedis上のキャッシュが削除されること。</t>
    <rPh sb="0" eb="2">
      <t>ジッコウ</t>
    </rPh>
    <rPh sb="9" eb="11">
      <t>ヒキスウ</t>
    </rPh>
    <rPh sb="12" eb="14">
      <t>タイオウ</t>
    </rPh>
    <rPh sb="21" eb="22">
      <t>ジョウ</t>
    </rPh>
    <rPh sb="29" eb="31">
      <t>サクジョ</t>
    </rPh>
    <phoneticPr fontId="2"/>
  </si>
  <si>
    <t>CAAB0401</t>
    <phoneticPr fontId="2"/>
  </si>
  <si>
    <t>CAAB04</t>
  </si>
  <si>
    <t>目的別に接続先Redisを指定する</t>
    <phoneticPr fontId="2"/>
  </si>
  <si>
    <t>XXXX-env.xmlにガイドライン「目的別に接続先Redisを指定する」で説明した方法でキャッシュマネージャーが接続するRedisをキャッシュ用とセッション用とで別に指定する。</t>
    <rPh sb="39" eb="41">
      <t>セツメイ</t>
    </rPh>
    <rPh sb="43" eb="45">
      <t>ホウホウ</t>
    </rPh>
    <rPh sb="58" eb="60">
      <t>セツゾク</t>
    </rPh>
    <rPh sb="73" eb="74">
      <t>ヨウ</t>
    </rPh>
    <rPh sb="80" eb="81">
      <t>ヨウ</t>
    </rPh>
    <rPh sb="83" eb="84">
      <t>ベツ</t>
    </rPh>
    <rPh sb="85" eb="87">
      <t>シテイ</t>
    </rPh>
    <phoneticPr fontId="2"/>
  </si>
  <si>
    <t>キャッシュマネージャとしてRedisCacheManagerを使用し、接続設定はspring bootデフォルトのプロパティを使用せず、独自のプロパティキーを使用して行う。
Spring Session Data Redisによるセッション管理を有効にする。</t>
    <rPh sb="31" eb="33">
      <t>シヨウ</t>
    </rPh>
    <rPh sb="35" eb="37">
      <t>セツゾク</t>
    </rPh>
    <rPh sb="37" eb="39">
      <t>セッテイ</t>
    </rPh>
    <rPh sb="63" eb="65">
      <t>シヨウ</t>
    </rPh>
    <rPh sb="68" eb="70">
      <t>ドクジ</t>
    </rPh>
    <rPh sb="79" eb="81">
      <t>シヨウ</t>
    </rPh>
    <rPh sb="83" eb="84">
      <t>オコナ</t>
    </rPh>
    <rPh sb="121" eb="123">
      <t>カンリ</t>
    </rPh>
    <rPh sb="124" eb="126">
      <t>ユウコウ</t>
    </rPh>
    <phoneticPr fontId="2"/>
  </si>
  <si>
    <t xml:space="preserve">キャッシュマネージャーとしてRedisCacheManagerを使用出来ること。
セッションを格納するRedisを別に指定し、キャッシュとセッションを別のRedisに格納できること。
</t>
    <rPh sb="32" eb="34">
      <t>シヨウ</t>
    </rPh>
    <rPh sb="34" eb="36">
      <t>デキ</t>
    </rPh>
    <rPh sb="48" eb="50">
      <t>カクノウ</t>
    </rPh>
    <rPh sb="58" eb="59">
      <t>ベツ</t>
    </rPh>
    <rPh sb="60" eb="62">
      <t>シテイ</t>
    </rPh>
    <rPh sb="76" eb="77">
      <t>ベツ</t>
    </rPh>
    <rPh sb="84" eb="86">
      <t>カクノウ</t>
    </rPh>
    <phoneticPr fontId="2"/>
  </si>
  <si>
    <t>①②を実行後、
・@Cacheableのkey属性に指定したキーでRedisからキャッシュしたオブジェクトが取得できること。
・セッション情報がキャッシュを格納したRedisとは別のRedisに格納されていること。
を確認する。
③実行後、
・@CacheEvictのkey属性に指定した値に対応するキャッシュが削除されていることを確認する。</t>
    <rPh sb="3" eb="5">
      <t>ジッコウ</t>
    </rPh>
    <rPh sb="5" eb="6">
      <t>ゴ</t>
    </rPh>
    <rPh sb="23" eb="25">
      <t>ゾクセイ</t>
    </rPh>
    <rPh sb="26" eb="28">
      <t>シテイ</t>
    </rPh>
    <rPh sb="54" eb="56">
      <t>シュトク</t>
    </rPh>
    <rPh sb="69" eb="71">
      <t>ジョウホウ</t>
    </rPh>
    <rPh sb="78" eb="80">
      <t>カクノウ</t>
    </rPh>
    <rPh sb="89" eb="90">
      <t>ベツ</t>
    </rPh>
    <rPh sb="97" eb="99">
      <t>カクノウ</t>
    </rPh>
    <rPh sb="109" eb="111">
      <t>カクニン</t>
    </rPh>
    <rPh sb="117" eb="119">
      <t>ジッコウ</t>
    </rPh>
    <rPh sb="119" eb="120">
      <t>ゴ</t>
    </rPh>
    <rPh sb="138" eb="140">
      <t>ゾクセイ</t>
    </rPh>
    <rPh sb="141" eb="143">
      <t>シテイ</t>
    </rPh>
    <rPh sb="145" eb="146">
      <t>アタイ</t>
    </rPh>
    <rPh sb="147" eb="149">
      <t>タイオウ</t>
    </rPh>
    <rPh sb="157" eb="159">
      <t>サクジョ</t>
    </rPh>
    <rPh sb="167" eb="169">
      <t>カクニン</t>
    </rPh>
    <phoneticPr fontId="2"/>
  </si>
  <si>
    <t xml:space="preserve">①Controller内でgetSession()を実行し、セッションを作成する。
②@Cacheableを付与したサービスクラスのメソッドを実行する。
③@CacheEvictを付与したサービスクラスのメソッドを実行する。キャッシュキーは①実行時と同一となるリクエストを行う。
</t>
    <rPh sb="55" eb="57">
      <t>フヨ</t>
    </rPh>
    <rPh sb="72" eb="74">
      <t>ジッコウ</t>
    </rPh>
    <rPh sb="92" eb="94">
      <t>フヨ</t>
    </rPh>
    <rPh sb="109" eb="111">
      <t>ジッコウ</t>
    </rPh>
    <rPh sb="123" eb="125">
      <t>ジッコウ</t>
    </rPh>
    <rPh sb="125" eb="126">
      <t>ジ</t>
    </rPh>
    <rPh sb="127" eb="129">
      <t>ドウイツ</t>
    </rPh>
    <rPh sb="138" eb="139">
      <t>オコナ</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</si>
</sst>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lt;=999]000;[&lt;=9999]000\-00;000\-0000"/>
  </numFmts>
  <fonts count="9" x14ac:knownFonts="1">
    <font>
      <sz val="11"/>
      <color theme="1"/>
      <name val="ＭＳ Ｐゴシック"/>
      <family val="2"/>
      <charset val="128"/>
      <scheme val="minor"/>
    </font>
    <font>
      <b/>
      <sz val="11"/>
      <name val="ＭＳ Ｐゴシック"/>
      <family val="2"/>
      <charset val="128"/>
      <scheme val="minor"/>
    </font>
    <font>
      <sz val="6"/>
      <name val="ＭＳ Ｐゴシック"/>
      <family val="2"/>
      <charset val="128"/>
      <scheme val="minor"/>
    </font>
    <font>
      <b/>
      <sz val="11"/>
      <name val="ＭＳ Ｐゴシック"/>
      <family val="3"/>
      <charset val="128"/>
      <scheme val="minor"/>
    </font>
    <font>
      <b/>
      <sz val="11"/>
      <color theme="1"/>
      <name val="ＭＳ Ｐゴシック"/>
      <family val="3"/>
      <charset val="128"/>
      <scheme val="minor"/>
    </font>
    <font>
      <u/>
      <sz val="11"/>
      <color theme="10"/>
      <name val="ＭＳ Ｐゴシック"/>
      <family val="3"/>
      <charset val="128"/>
    </font>
    <font>
      <sz val="11"/>
      <name val="ＭＳ Ｐゴシック"/>
      <family val="3"/>
      <charset val="128"/>
    </font>
    <font>
      <b/>
      <sz val="11"/>
      <name val="ＭＳ Ｐゴシック"/>
      <family val="3"/>
      <charset val="128"/>
    </font>
    <font>
      <sz val="6"/>
      <name val="ＭＳ Ｐゴシック"/>
      <family val="3"/>
      <charset val="128"/>
    </font>
  </fonts>
  <fills count="5">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rgb="FFFFFFCC"/>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3">
    <xf numFmtId="0" fontId="0" fillId="0" borderId="0">
      <alignment vertical="center"/>
    </xf>
    <xf numFmtId="0" fontId="5" fillId="0" borderId="0" applyNumberFormat="0" applyFill="0" applyBorder="0" applyAlignment="0" applyProtection="0">
      <alignment vertical="top"/>
      <protection locked="0"/>
    </xf>
    <xf numFmtId="0" fontId="6" fillId="0" borderId="0">
      <alignment vertical="center"/>
    </xf>
  </cellStyleXfs>
  <cellXfs count="43">
    <xf numFmtId="0" fontId="0" fillId="0" borderId="0" xfId="0">
      <alignment vertical="center"/>
    </xf>
    <xf numFmtId="0" fontId="1" fillId="2" borderId="1" xfId="0" applyFont="1" applyFill="1" applyBorder="1" applyAlignment="1">
      <alignment horizontal="center" vertical="center"/>
    </xf>
    <xf numFmtId="0" fontId="0" fillId="0" borderId="1" xfId="0" applyBorder="1">
      <alignment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0" fillId="0" borderId="1" xfId="0" applyBorder="1" applyAlignment="1">
      <alignment horizontal="left" vertical="top" wrapText="1"/>
    </xf>
    <xf numFmtId="0" fontId="7" fillId="3" borderId="1" xfId="2" applyFont="1" applyFill="1" applyBorder="1" applyAlignment="1">
      <alignment horizontal="center" vertical="center"/>
    </xf>
    <xf numFmtId="0" fontId="7" fillId="3" borderId="1" xfId="2" applyFont="1" applyFill="1" applyBorder="1" applyAlignment="1">
      <alignment horizontal="center" vertical="center" wrapText="1"/>
    </xf>
    <xf numFmtId="0" fontId="6" fillId="0" borderId="1" xfId="2" applyBorder="1" applyAlignment="1">
      <alignment horizontal="center" vertical="center"/>
    </xf>
    <xf numFmtId="14" fontId="6" fillId="0" borderId="1" xfId="2" applyNumberFormat="1" applyBorder="1" applyAlignment="1">
      <alignment horizontal="center" vertical="center"/>
    </xf>
    <xf numFmtId="0" fontId="6" fillId="0" borderId="0" xfId="2" applyAlignment="1">
      <alignment vertical="center"/>
    </xf>
    <xf numFmtId="0" fontId="6" fillId="0" borderId="0" xfId="2">
      <alignment vertical="center"/>
    </xf>
    <xf numFmtId="0" fontId="6" fillId="0" borderId="1" xfId="2" applyBorder="1" applyAlignment="1">
      <alignment horizontal="left" vertical="top" wrapText="1"/>
    </xf>
    <xf numFmtId="49" fontId="6" fillId="0" borderId="1" xfId="2" applyNumberFormat="1" applyBorder="1" applyAlignment="1">
      <alignment horizontal="left" vertical="top" wrapText="1"/>
    </xf>
    <xf numFmtId="14" fontId="6" fillId="0" borderId="1" xfId="2" applyNumberFormat="1" applyBorder="1" applyAlignment="1">
      <alignment horizontal="center" vertical="top" wrapText="1"/>
    </xf>
    <xf numFmtId="0" fontId="6" fillId="0" borderId="1" xfId="2" applyNumberFormat="1" applyBorder="1" applyAlignment="1">
      <alignment horizontal="center" vertical="center"/>
    </xf>
    <xf numFmtId="0" fontId="6" fillId="4" borderId="1" xfId="2" applyNumberFormat="1" applyFill="1" applyBorder="1" applyAlignment="1">
      <alignment horizontal="center" vertical="center"/>
    </xf>
    <xf numFmtId="176" fontId="6" fillId="4" borderId="1" xfId="2" applyNumberFormat="1" applyFill="1" applyBorder="1" applyAlignment="1">
      <alignment horizontal="center" vertical="top" wrapText="1"/>
    </xf>
    <xf numFmtId="0" fontId="0" fillId="0" borderId="2" xfId="0" applyNumberFormat="1" applyBorder="1" applyAlignment="1">
      <alignment horizontal="left" vertical="top" wrapText="1"/>
    </xf>
    <xf numFmtId="0" fontId="0" fillId="0" borderId="3" xfId="0" applyNumberFormat="1" applyBorder="1" applyAlignment="1">
      <alignment horizontal="left" vertical="top" wrapText="1"/>
    </xf>
    <xf numFmtId="0" fontId="0" fillId="0" borderId="4" xfId="0" applyNumberFormat="1" applyBorder="1" applyAlignment="1">
      <alignment horizontal="left" vertical="top" wrapText="1"/>
    </xf>
    <xf numFmtId="0" fontId="0" fillId="4" borderId="3" xfId="0" applyFill="1" applyBorder="1" applyAlignment="1">
      <alignment horizontal="center" vertical="top"/>
    </xf>
    <xf numFmtId="0" fontId="0" fillId="4" borderId="4" xfId="0" applyFill="1" applyBorder="1" applyAlignment="1">
      <alignment horizontal="center" vertical="top"/>
    </xf>
    <xf numFmtId="0" fontId="0" fillId="4" borderId="1" xfId="0" applyFill="1" applyBorder="1" applyAlignment="1">
      <alignment horizontal="center" vertical="top"/>
    </xf>
    <xf numFmtId="0" fontId="0" fillId="2" borderId="1" xfId="0" applyFill="1" applyBorder="1" applyAlignment="1">
      <alignment horizontal="center" vertical="center"/>
    </xf>
    <xf numFmtId="0" fontId="0" fillId="0" borderId="12" xfId="0" applyBorder="1" applyAlignment="1">
      <alignment horizontal="left" vertical="top"/>
    </xf>
    <xf numFmtId="0" fontId="0" fillId="4" borderId="2" xfId="0" applyFill="1" applyBorder="1" applyAlignment="1">
      <alignment horizontal="center" vertical="top"/>
    </xf>
    <xf numFmtId="176" fontId="6" fillId="0" borderId="1" xfId="2" applyNumberFormat="1" applyBorder="1" applyAlignment="1">
      <alignment horizontal="center" vertical="top" wrapText="1"/>
    </xf>
    <xf numFmtId="49" fontId="6" fillId="0" borderId="1" xfId="2" quotePrefix="1" applyNumberFormat="1" applyBorder="1" applyAlignment="1">
      <alignment horizontal="left" vertical="top" wrapText="1"/>
    </xf>
    <xf numFmtId="0" fontId="7" fillId="3" borderId="6" xfId="2" applyFont="1" applyFill="1" applyBorder="1" applyAlignment="1">
      <alignment horizontal="center" vertical="center" wrapText="1"/>
    </xf>
    <xf numFmtId="0" fontId="7" fillId="3" borderId="8" xfId="2" applyFont="1" applyFill="1" applyBorder="1" applyAlignment="1">
      <alignment horizontal="center" vertical="center" wrapText="1"/>
    </xf>
    <xf numFmtId="0" fontId="5" fillId="4" borderId="5" xfId="1" applyFill="1" applyBorder="1" applyAlignment="1" applyProtection="1">
      <alignment horizontal="center" vertical="center"/>
    </xf>
    <xf numFmtId="0" fontId="5" fillId="4" borderId="9" xfId="1" applyFill="1" applyBorder="1" applyAlignment="1" applyProtection="1">
      <alignment horizontal="center" vertical="center"/>
    </xf>
    <xf numFmtId="0" fontId="5" fillId="4" borderId="10" xfId="1" applyFill="1" applyBorder="1" applyAlignment="1" applyProtection="1">
      <alignment horizontal="center" vertical="center"/>
    </xf>
    <xf numFmtId="0" fontId="5" fillId="4" borderId="11" xfId="1" applyFill="1" applyBorder="1" applyAlignment="1" applyProtection="1">
      <alignment horizontal="center" vertical="center"/>
    </xf>
    <xf numFmtId="0" fontId="6" fillId="4" borderId="2" xfId="2" applyFill="1" applyBorder="1" applyAlignment="1">
      <alignment horizontal="center" vertical="center"/>
    </xf>
    <xf numFmtId="0" fontId="6" fillId="4" borderId="4" xfId="2" applyFill="1" applyBorder="1" applyAlignment="1">
      <alignment horizontal="center" vertical="center"/>
    </xf>
    <xf numFmtId="0" fontId="7" fillId="3" borderId="6" xfId="2" applyFont="1" applyFill="1" applyBorder="1" applyAlignment="1">
      <alignment horizontal="left" vertical="center"/>
    </xf>
    <xf numFmtId="0" fontId="7" fillId="3" borderId="7" xfId="2" applyFont="1" applyFill="1" applyBorder="1" applyAlignment="1">
      <alignment horizontal="left" vertical="center"/>
    </xf>
    <xf numFmtId="0" fontId="7" fillId="3" borderId="8" xfId="2" applyFont="1" applyFill="1" applyBorder="1" applyAlignment="1">
      <alignment horizontal="left" vertical="center"/>
    </xf>
    <xf numFmtId="49" fontId="6" fillId="0" borderId="6" xfId="2" applyNumberFormat="1" applyBorder="1" applyAlignment="1">
      <alignment horizontal="left" vertical="top"/>
    </xf>
    <xf numFmtId="49" fontId="6" fillId="0" borderId="7" xfId="2" applyNumberFormat="1" applyBorder="1" applyAlignment="1">
      <alignment horizontal="left" vertical="top"/>
    </xf>
    <xf numFmtId="49" fontId="6" fillId="0" borderId="8" xfId="2" applyNumberFormat="1" applyBorder="1" applyAlignment="1">
      <alignment horizontal="left" vertical="top"/>
    </xf>
  </cellXfs>
  <cellStyles count="3">
    <cellStyle name="ハイパーリンク" xfId="1" builtinId="8"/>
    <cellStyle name="標準" xfId="0" builtinId="0"/>
    <cellStyle name="標準 2" xfId="2"/>
  </cellStyles>
  <dxfs count="30">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
      <border>
        <left style="thin">
          <color auto="1"/>
        </left>
        <right style="thin">
          <color auto="1"/>
        </right>
        <top style="thin">
          <color auto="1"/>
        </top>
        <vertical/>
        <horizontal/>
      </border>
    </dxf>
  </dxfs>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8"/>
  <sheetViews>
    <sheetView tabSelected="1" zoomScaleNormal="100" workbookViewId="0">
      <pane ySplit="4" topLeftCell="A5" activePane="bottomLeft" state="frozen"/>
      <selection pane="bottomLeft"/>
    </sheetView>
  </sheetViews>
  <sheetFormatPr defaultRowHeight="13.2" x14ac:dyDescent="0.2"/>
  <cols>
    <col min="1" max="1" width="9.77734375" bestFit="1" customWidth="1"/>
    <col min="2" max="2" width="41.21875" customWidth="1"/>
    <col min="3" max="3" width="13.6640625" customWidth="1"/>
    <col min="4" max="4" width="75" customWidth="1"/>
  </cols>
  <sheetData>
    <row r="1" spans="1:4" x14ac:dyDescent="0.2">
      <c r="A1" s="1" t="s">
        <v>0</v>
      </c>
      <c r="B1" s="2" t="s">
        <v>26</v>
      </c>
      <c r="C1" s="24" t="s">
        <v>24</v>
      </c>
    </row>
    <row r="2" spans="1:4" x14ac:dyDescent="0.2">
      <c r="A2" s="3" t="s">
        <v>1</v>
      </c>
      <c r="B2" s="2" t="s">
        <v>25</v>
      </c>
      <c r="C2" s="2">
        <f>CAAB01!C2+CAAB02!C2+CAAB03!C2+CAAB04!C2</f>
        <v>4</v>
      </c>
    </row>
    <row r="4" spans="1:4" x14ac:dyDescent="0.2">
      <c r="A4" s="4" t="s">
        <v>2</v>
      </c>
      <c r="B4" s="4" t="s">
        <v>3</v>
      </c>
      <c r="C4" s="4" t="s">
        <v>4</v>
      </c>
      <c r="D4" s="4" t="s">
        <v>5</v>
      </c>
    </row>
    <row r="5" spans="1:4" ht="27" customHeight="1" x14ac:dyDescent="0.2">
      <c r="A5" s="26" t="str">
        <f>IF(B5="","",($B$1&amp;TEXT(IF(B5="","",COUNTA($B$5:B5)),"00")))</f>
        <v>CAAB01</v>
      </c>
      <c r="B5" s="18" t="s">
        <v>27</v>
      </c>
      <c r="C5" s="23" t="str">
        <f>IF(B5="",($B$1&amp;TEXT(IF(B5="",COUNTA($B$5:B5),1),"00")),A5)&amp;IF(B5&lt;&gt;"",TEXT(1,"00"),TEXT(IF(A5&lt;&gt;"",1,RIGHT(C4,2)+1),"00"))</f>
        <v>CAAB0101</v>
      </c>
      <c r="D5" s="5" t="s">
        <v>33</v>
      </c>
    </row>
    <row r="6" spans="1:4" x14ac:dyDescent="0.2">
      <c r="A6" s="21" t="str">
        <f>IF(B6="","",($B$1&amp;TEXT(IF(B6="","",COUNTA($B$5:B6)),"00")))</f>
        <v>CAAB02</v>
      </c>
      <c r="B6" s="19" t="s">
        <v>29</v>
      </c>
      <c r="C6" s="23" t="str">
        <f>IF(B6="",($B$1&amp;TEXT(IF(B6="",COUNTA($B$5:B6),1),"00")),A6)&amp;IF(B6&lt;&gt;"",TEXT(1,"00"),TEXT(IF(A6&lt;&gt;"",1,RIGHT(C5,2)+1),"00"))</f>
        <v>CAAB0201</v>
      </c>
      <c r="D6" s="5" t="s">
        <v>34</v>
      </c>
    </row>
    <row r="7" spans="1:4" x14ac:dyDescent="0.2">
      <c r="A7" s="21" t="str">
        <f>IF(B7="","",($B$1&amp;TEXT(IF(B7="","",COUNTA($B$5:B7)),"00")))</f>
        <v>CAAB03</v>
      </c>
      <c r="B7" s="19" t="s">
        <v>31</v>
      </c>
      <c r="C7" s="23" t="str">
        <f>IF(B7="",($B$1&amp;TEXT(IF(B7="",COUNTA($B$5:B7),1),"00")),A7)&amp;IF(B7&lt;&gt;"",TEXT(1,"00"),TEXT(IF(A7&lt;&gt;"",1,RIGHT(C6,2)+1),"00"))</f>
        <v>CAAB0301</v>
      </c>
      <c r="D7" s="5" t="s">
        <v>35</v>
      </c>
    </row>
    <row r="8" spans="1:4" ht="26.4" x14ac:dyDescent="0.2">
      <c r="A8" s="22" t="str">
        <f>IF(B8="","",($B$1&amp;TEXT(IF(B8="","",COUNTA($B$5:B8)),"00")))</f>
        <v>CAAB04</v>
      </c>
      <c r="B8" s="20" t="s">
        <v>32</v>
      </c>
      <c r="C8" s="23" t="str">
        <f>IF(B8="",($B$1&amp;TEXT(IF(B8="",COUNTA($B$5:B8),1),"00")),A8)&amp;IF(B8&lt;&gt;"",TEXT(1,"00"),TEXT(IF(A8&lt;&gt;"",1,RIGHT(C7,2)+1),"00"))</f>
        <v>CAAB0401</v>
      </c>
      <c r="D8" s="5" t="s">
        <v>36</v>
      </c>
    </row>
  </sheetData>
  <phoneticPr fontId="2"/>
  <conditionalFormatting sqref="B5">
    <cfRule type="expression" dxfId="29" priority="40">
      <formula>B5&lt;&gt;""</formula>
    </cfRule>
  </conditionalFormatting>
  <conditionalFormatting sqref="B6">
    <cfRule type="expression" dxfId="28" priority="39">
      <formula>B6&lt;&gt;""</formula>
    </cfRule>
  </conditionalFormatting>
  <conditionalFormatting sqref="B7">
    <cfRule type="expression" dxfId="27" priority="38">
      <formula>B7&lt;&gt;""</formula>
    </cfRule>
  </conditionalFormatting>
  <conditionalFormatting sqref="B8">
    <cfRule type="expression" dxfId="26" priority="37">
      <formula>B8&lt;&gt;""</formula>
    </cfRule>
  </conditionalFormatting>
  <conditionalFormatting sqref="A5">
    <cfRule type="expression" dxfId="25" priority="30">
      <formula>A5&lt;&gt;""</formula>
    </cfRule>
  </conditionalFormatting>
  <conditionalFormatting sqref="A8">
    <cfRule type="expression" dxfId="24" priority="27">
      <formula>A8&lt;&gt;""</formula>
    </cfRule>
  </conditionalFormatting>
  <conditionalFormatting sqref="A6">
    <cfRule type="expression" dxfId="23" priority="15">
      <formula>A6&lt;&gt;""</formula>
    </cfRule>
  </conditionalFormatting>
  <conditionalFormatting sqref="A7">
    <cfRule type="expression" dxfId="22" priority="14">
      <formula>A7&lt;&gt;""</formula>
    </cfRule>
  </conditionalFormatting>
  <conditionalFormatting sqref="A8">
    <cfRule type="expression" dxfId="21" priority="13">
      <formula>A8&lt;&gt;""</formula>
    </cfRule>
  </conditionalFormatting>
  <conditionalFormatting sqref="A7">
    <cfRule type="expression" dxfId="20" priority="6">
      <formula>A7&lt;&gt;""</formula>
    </cfRule>
  </conditionalFormatting>
  <pageMargins left="0.39370078740157483" right="0.39370078740157483" top="0.59055118110236227" bottom="0.59055118110236227" header="0.31496062992125984" footer="0.31496062992125984"/>
  <pageSetup paperSize="9" fitToHeight="0" orientation="landscape" r:id="rId1"/>
  <headerFooter>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
  <sheetViews>
    <sheetView zoomScale="85" zoomScaleNormal="85" workbookViewId="0">
      <pane ySplit="8" topLeftCell="A9" activePane="bottomLeft" state="frozen"/>
      <selection pane="bottomLeft" sqref="A1:B1"/>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7" width="41.77734375" customWidth="1"/>
    <col min="8" max="8" width="42" customWidth="1"/>
    <col min="9" max="9" width="16.77734375" customWidth="1"/>
  </cols>
  <sheetData>
    <row r="1" spans="1:10" ht="26.4" x14ac:dyDescent="0.2">
      <c r="A1" s="29" t="s">
        <v>6</v>
      </c>
      <c r="B1" s="30"/>
      <c r="C1" s="6" t="s">
        <v>7</v>
      </c>
      <c r="D1" s="6" t="s">
        <v>8</v>
      </c>
      <c r="E1" s="6" t="s">
        <v>9</v>
      </c>
      <c r="F1" s="6" t="s">
        <v>10</v>
      </c>
      <c r="G1" s="6" t="s">
        <v>11</v>
      </c>
      <c r="H1" s="7" t="s">
        <v>12</v>
      </c>
    </row>
    <row r="2" spans="1:10" x14ac:dyDescent="0.2">
      <c r="A2" s="31" t="s">
        <v>20</v>
      </c>
      <c r="B2" s="32"/>
      <c r="C2" s="35">
        <f>COUNTA($D$9:$D$65495)</f>
        <v>1</v>
      </c>
      <c r="D2" s="16" t="str">
        <f>大中項目!B1</f>
        <v>CAAB</v>
      </c>
      <c r="E2" s="15" t="s">
        <v>46</v>
      </c>
      <c r="F2" s="9"/>
      <c r="G2" s="9"/>
      <c r="H2" s="8"/>
    </row>
    <row r="3" spans="1:10" x14ac:dyDescent="0.2">
      <c r="A3" s="33"/>
      <c r="B3" s="34"/>
      <c r="C3" s="36"/>
      <c r="D3" s="16" t="str">
        <f>大中項目!B2</f>
        <v>キャッシュの抽象化（Cache Abstraction）</v>
      </c>
      <c r="E3" s="15" t="s">
        <v>45</v>
      </c>
      <c r="F3" s="9"/>
      <c r="G3" s="9"/>
      <c r="H3" s="9"/>
    </row>
    <row r="4" spans="1:10" x14ac:dyDescent="0.2">
      <c r="A4" s="10"/>
      <c r="B4" s="10"/>
      <c r="C4" s="10"/>
      <c r="D4" s="10"/>
      <c r="E4" s="10"/>
      <c r="F4" s="10"/>
      <c r="G4" s="10"/>
      <c r="H4" s="10"/>
      <c r="I4" s="10"/>
    </row>
    <row r="5" spans="1:10" x14ac:dyDescent="0.2">
      <c r="A5" s="37" t="s">
        <v>13</v>
      </c>
      <c r="B5" s="38"/>
      <c r="C5" s="38"/>
      <c r="D5" s="38"/>
      <c r="E5" s="38"/>
      <c r="F5" s="38"/>
      <c r="G5" s="38"/>
      <c r="H5" s="38"/>
      <c r="I5" s="39"/>
    </row>
    <row r="6" spans="1:10" ht="42" customHeight="1" x14ac:dyDescent="0.2">
      <c r="A6" s="40" t="s">
        <v>14</v>
      </c>
      <c r="B6" s="41"/>
      <c r="C6" s="41"/>
      <c r="D6" s="41"/>
      <c r="E6" s="41"/>
      <c r="F6" s="41"/>
      <c r="G6" s="41"/>
      <c r="H6" s="41"/>
      <c r="I6" s="42"/>
    </row>
    <row r="7" spans="1:10" x14ac:dyDescent="0.2">
      <c r="A7" s="11"/>
      <c r="B7" s="11"/>
      <c r="C7" s="11"/>
      <c r="D7" s="11"/>
      <c r="E7" s="11"/>
      <c r="F7" s="11"/>
      <c r="G7" s="11"/>
      <c r="H7" s="11"/>
      <c r="I7" s="11"/>
    </row>
    <row r="8" spans="1:10" ht="26.4" x14ac:dyDescent="0.2">
      <c r="A8" s="6" t="s">
        <v>4</v>
      </c>
      <c r="B8" s="7" t="s">
        <v>21</v>
      </c>
      <c r="C8" s="6" t="s">
        <v>15</v>
      </c>
      <c r="D8" s="6" t="s">
        <v>16</v>
      </c>
      <c r="E8" s="6" t="s">
        <v>17</v>
      </c>
      <c r="F8" s="7" t="s">
        <v>22</v>
      </c>
      <c r="G8" s="7" t="s">
        <v>23</v>
      </c>
      <c r="H8" s="6" t="s">
        <v>18</v>
      </c>
      <c r="I8" s="6" t="s">
        <v>19</v>
      </c>
    </row>
    <row r="9" spans="1:10" ht="79.2" x14ac:dyDescent="0.2">
      <c r="A9" s="27" t="s">
        <v>37</v>
      </c>
      <c r="B9" s="17">
        <f t="shared" ref="B9" ca="1" si="0">IF(A9&lt;&gt;"",1,INDIRECT(ADDRESS(ROW(B9)-1,COLUMN(B9),4))+1)</f>
        <v>1</v>
      </c>
      <c r="C9" s="12" t="s">
        <v>38</v>
      </c>
      <c r="D9" s="13" t="s">
        <v>39</v>
      </c>
      <c r="E9" s="13" t="s">
        <v>44</v>
      </c>
      <c r="F9" s="13" t="s">
        <v>40</v>
      </c>
      <c r="G9" s="13" t="s">
        <v>41</v>
      </c>
      <c r="H9" s="13" t="s">
        <v>42</v>
      </c>
      <c r="I9" s="14" t="s">
        <v>43</v>
      </c>
      <c r="J9" s="25"/>
    </row>
  </sheetData>
  <mergeCells count="5">
    <mergeCell ref="A1:B1"/>
    <mergeCell ref="A2:B3"/>
    <mergeCell ref="C2:C3"/>
    <mergeCell ref="A5:I5"/>
    <mergeCell ref="A6:I6"/>
  </mergeCells>
  <phoneticPr fontId="2"/>
  <conditionalFormatting sqref="B9">
    <cfRule type="expression" dxfId="19" priority="106">
      <formula>B9&lt;&gt;""</formula>
    </cfRule>
  </conditionalFormatting>
  <conditionalFormatting sqref="B9">
    <cfRule type="expression" dxfId="18" priority="34">
      <formula>B9&lt;&gt;""</formula>
    </cfRule>
  </conditionalFormatting>
  <conditionalFormatting sqref="B9">
    <cfRule type="expression" dxfId="17" priority="33">
      <formula>B9&lt;&gt;""</formula>
    </cfRule>
  </conditionalFormatting>
  <conditionalFormatting sqref="B9">
    <cfRule type="expression" dxfId="16" priority="32">
      <formula>B9&lt;&gt;""</formula>
    </cfRule>
  </conditionalFormatting>
  <conditionalFormatting sqref="B9">
    <cfRule type="expression" dxfId="15" priority="31">
      <formula>B9&lt;&gt;""</formula>
    </cfRule>
  </conditionalFormatting>
  <dataValidations count="2">
    <dataValidation type="list" allowBlank="1" showInputMessage="1" showErrorMessage="1" sqref="I9">
      <formula1>"Selenium:○,Seleniumu:△,Selenium:×,JUnit:○,JUnit:△,Junit:×,手動実行,机上"</formula1>
    </dataValidation>
    <dataValidation type="list" allowBlank="1" showInputMessage="1" showErrorMessage="1" sqref="C9">
      <formula1>"正常,クライアントエラー,サーバーエラー"</formula1>
    </dataValidation>
  </dataValidations>
  <hyperlinks>
    <hyperlink ref="A2" location="大中項目!A1" display="目次へ"/>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
  <sheetViews>
    <sheetView zoomScale="85" zoomScaleNormal="85" workbookViewId="0">
      <pane ySplit="8" topLeftCell="A9" activePane="bottomLeft" state="frozen"/>
      <selection pane="bottomLeft" sqref="A1:B1"/>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7" width="41.77734375" customWidth="1"/>
    <col min="8" max="8" width="42" customWidth="1"/>
    <col min="9" max="9" width="16.77734375" customWidth="1"/>
  </cols>
  <sheetData>
    <row r="1" spans="1:10" ht="26.4" x14ac:dyDescent="0.2">
      <c r="A1" s="29" t="s">
        <v>6</v>
      </c>
      <c r="B1" s="30"/>
      <c r="C1" s="6" t="s">
        <v>7</v>
      </c>
      <c r="D1" s="6" t="s">
        <v>8</v>
      </c>
      <c r="E1" s="6" t="s">
        <v>9</v>
      </c>
      <c r="F1" s="6" t="s">
        <v>10</v>
      </c>
      <c r="G1" s="6" t="s">
        <v>11</v>
      </c>
      <c r="H1" s="7" t="s">
        <v>12</v>
      </c>
    </row>
    <row r="2" spans="1:10" x14ac:dyDescent="0.2">
      <c r="A2" s="31" t="s">
        <v>20</v>
      </c>
      <c r="B2" s="32"/>
      <c r="C2" s="35">
        <f>COUNTA($D$9:$D$65495)</f>
        <v>1</v>
      </c>
      <c r="D2" s="16" t="str">
        <f>大中項目!B1</f>
        <v>CAAB</v>
      </c>
      <c r="E2" s="15" t="s">
        <v>47</v>
      </c>
      <c r="F2" s="9"/>
      <c r="G2" s="9"/>
      <c r="H2" s="8"/>
    </row>
    <row r="3" spans="1:10" x14ac:dyDescent="0.2">
      <c r="A3" s="33"/>
      <c r="B3" s="34"/>
      <c r="C3" s="36"/>
      <c r="D3" s="16" t="str">
        <f>大中項目!B2</f>
        <v>キャッシュの抽象化（Cache Abstraction）</v>
      </c>
      <c r="E3" s="15" t="s">
        <v>28</v>
      </c>
      <c r="F3" s="9"/>
      <c r="G3" s="9"/>
      <c r="H3" s="9"/>
    </row>
    <row r="4" spans="1:10" x14ac:dyDescent="0.2">
      <c r="A4" s="10"/>
      <c r="B4" s="10"/>
      <c r="C4" s="10"/>
      <c r="D4" s="10"/>
      <c r="E4" s="10"/>
      <c r="F4" s="10"/>
      <c r="G4" s="10"/>
      <c r="H4" s="10"/>
      <c r="I4" s="10"/>
    </row>
    <row r="5" spans="1:10" x14ac:dyDescent="0.2">
      <c r="A5" s="37" t="s">
        <v>13</v>
      </c>
      <c r="B5" s="38"/>
      <c r="C5" s="38"/>
      <c r="D5" s="38"/>
      <c r="E5" s="38"/>
      <c r="F5" s="38"/>
      <c r="G5" s="38"/>
      <c r="H5" s="38"/>
      <c r="I5" s="39"/>
    </row>
    <row r="6" spans="1:10" ht="42" customHeight="1" x14ac:dyDescent="0.2">
      <c r="A6" s="40" t="s">
        <v>14</v>
      </c>
      <c r="B6" s="41"/>
      <c r="C6" s="41"/>
      <c r="D6" s="41"/>
      <c r="E6" s="41"/>
      <c r="F6" s="41"/>
      <c r="G6" s="41"/>
      <c r="H6" s="41"/>
      <c r="I6" s="42"/>
    </row>
    <row r="7" spans="1:10" x14ac:dyDescent="0.2">
      <c r="A7" s="11"/>
      <c r="B7" s="11"/>
      <c r="C7" s="11"/>
      <c r="D7" s="11"/>
      <c r="E7" s="11"/>
      <c r="F7" s="11"/>
      <c r="G7" s="11"/>
      <c r="H7" s="11"/>
      <c r="I7" s="11"/>
    </row>
    <row r="8" spans="1:10" ht="26.4" x14ac:dyDescent="0.2">
      <c r="A8" s="6" t="s">
        <v>4</v>
      </c>
      <c r="B8" s="7" t="s">
        <v>21</v>
      </c>
      <c r="C8" s="6" t="s">
        <v>15</v>
      </c>
      <c r="D8" s="6" t="s">
        <v>16</v>
      </c>
      <c r="E8" s="6" t="s">
        <v>17</v>
      </c>
      <c r="F8" s="7" t="s">
        <v>22</v>
      </c>
      <c r="G8" s="7" t="s">
        <v>23</v>
      </c>
      <c r="H8" s="6" t="s">
        <v>18</v>
      </c>
      <c r="I8" s="6" t="s">
        <v>19</v>
      </c>
    </row>
    <row r="9" spans="1:10" ht="184.8" x14ac:dyDescent="0.2">
      <c r="A9" s="27" t="s">
        <v>48</v>
      </c>
      <c r="B9" s="17">
        <f t="shared" ref="B9" ca="1" si="0">IF(A9&lt;&gt;"",1,INDIRECT(ADDRESS(ROW(B9)-1,COLUMN(B9),4))+1)</f>
        <v>1</v>
      </c>
      <c r="C9" s="12" t="s">
        <v>38</v>
      </c>
      <c r="D9" s="13" t="s">
        <v>55</v>
      </c>
      <c r="E9" s="28" t="s">
        <v>49</v>
      </c>
      <c r="F9" s="13" t="s">
        <v>50</v>
      </c>
      <c r="G9" s="13" t="s">
        <v>59</v>
      </c>
      <c r="H9" s="13" t="s">
        <v>51</v>
      </c>
      <c r="I9" s="14" t="s">
        <v>43</v>
      </c>
      <c r="J9" s="25"/>
    </row>
  </sheetData>
  <mergeCells count="5">
    <mergeCell ref="A1:B1"/>
    <mergeCell ref="A2:B3"/>
    <mergeCell ref="C2:C3"/>
    <mergeCell ref="A5:I5"/>
    <mergeCell ref="A6:I6"/>
  </mergeCells>
  <phoneticPr fontId="2"/>
  <conditionalFormatting sqref="B9">
    <cfRule type="expression" dxfId="14" priority="35">
      <formula>B9&lt;&gt;""</formula>
    </cfRule>
  </conditionalFormatting>
  <conditionalFormatting sqref="B9">
    <cfRule type="expression" dxfId="13" priority="34">
      <formula>B9&lt;&gt;""</formula>
    </cfRule>
  </conditionalFormatting>
  <conditionalFormatting sqref="B9">
    <cfRule type="expression" dxfId="12" priority="33">
      <formula>B9&lt;&gt;""</formula>
    </cfRule>
  </conditionalFormatting>
  <conditionalFormatting sqref="B9">
    <cfRule type="expression" dxfId="11" priority="32">
      <formula>B9&lt;&gt;""</formula>
    </cfRule>
  </conditionalFormatting>
  <conditionalFormatting sqref="B9">
    <cfRule type="expression" dxfId="10" priority="31">
      <formula>B9&lt;&gt;""</formula>
    </cfRule>
  </conditionalFormatting>
  <dataValidations count="2">
    <dataValidation type="list" allowBlank="1" showInputMessage="1" showErrorMessage="1" sqref="C9">
      <formula1>"正常,クライアントエラー,サーバーエラー"</formula1>
    </dataValidation>
    <dataValidation type="list" allowBlank="1" showInputMessage="1" showErrorMessage="1" sqref="I9">
      <formula1>"Selenium:○,Seleniumu:△,Selenium:×,JUnit:○,JUnit:△,Junit:×,手動実行,机上"</formula1>
    </dataValidation>
  </dataValidations>
  <hyperlinks>
    <hyperlink ref="A2" location="大中項目!A1" display="目次へ"/>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
  <sheetViews>
    <sheetView zoomScale="85" zoomScaleNormal="85" workbookViewId="0">
      <pane ySplit="8" topLeftCell="A9" activePane="bottomLeft" state="frozen"/>
      <selection pane="bottomLeft" sqref="A1:B1"/>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7" width="41.77734375" customWidth="1"/>
    <col min="8" max="8" width="42" customWidth="1"/>
    <col min="9" max="9" width="16.77734375" customWidth="1"/>
  </cols>
  <sheetData>
    <row r="1" spans="1:10" ht="26.4" x14ac:dyDescent="0.2">
      <c r="A1" s="29" t="s">
        <v>6</v>
      </c>
      <c r="B1" s="30"/>
      <c r="C1" s="6" t="s">
        <v>7</v>
      </c>
      <c r="D1" s="6" t="s">
        <v>8</v>
      </c>
      <c r="E1" s="6" t="s">
        <v>9</v>
      </c>
      <c r="F1" s="6" t="s">
        <v>10</v>
      </c>
      <c r="G1" s="6" t="s">
        <v>11</v>
      </c>
      <c r="H1" s="7" t="s">
        <v>12</v>
      </c>
    </row>
    <row r="2" spans="1:10" x14ac:dyDescent="0.2">
      <c r="A2" s="31" t="s">
        <v>20</v>
      </c>
      <c r="B2" s="32"/>
      <c r="C2" s="35">
        <f>COUNTA($D$9:$D$65495)</f>
        <v>1</v>
      </c>
      <c r="D2" s="16" t="str">
        <f>大中項目!B1</f>
        <v>CAAB</v>
      </c>
      <c r="E2" s="15" t="s">
        <v>52</v>
      </c>
      <c r="F2" s="9"/>
      <c r="G2" s="9"/>
      <c r="H2" s="8"/>
    </row>
    <row r="3" spans="1:10" x14ac:dyDescent="0.2">
      <c r="A3" s="33"/>
      <c r="B3" s="34"/>
      <c r="C3" s="36"/>
      <c r="D3" s="16" t="str">
        <f>大中項目!B2</f>
        <v>キャッシュの抽象化（Cache Abstraction）</v>
      </c>
      <c r="E3" s="15" t="s">
        <v>30</v>
      </c>
      <c r="F3" s="9"/>
      <c r="G3" s="9"/>
      <c r="H3" s="9"/>
    </row>
    <row r="4" spans="1:10" x14ac:dyDescent="0.2">
      <c r="A4" s="10"/>
      <c r="B4" s="10"/>
      <c r="C4" s="10"/>
      <c r="D4" s="10"/>
      <c r="E4" s="10"/>
      <c r="F4" s="10"/>
      <c r="G4" s="10"/>
      <c r="H4" s="10"/>
      <c r="I4" s="10"/>
    </row>
    <row r="5" spans="1:10" x14ac:dyDescent="0.2">
      <c r="A5" s="37" t="s">
        <v>13</v>
      </c>
      <c r="B5" s="38"/>
      <c r="C5" s="38"/>
      <c r="D5" s="38"/>
      <c r="E5" s="38"/>
      <c r="F5" s="38"/>
      <c r="G5" s="38"/>
      <c r="H5" s="38"/>
      <c r="I5" s="39"/>
    </row>
    <row r="6" spans="1:10" ht="42" customHeight="1" x14ac:dyDescent="0.2">
      <c r="A6" s="40" t="s">
        <v>14</v>
      </c>
      <c r="B6" s="41"/>
      <c r="C6" s="41"/>
      <c r="D6" s="41"/>
      <c r="E6" s="41"/>
      <c r="F6" s="41"/>
      <c r="G6" s="41"/>
      <c r="H6" s="41"/>
      <c r="I6" s="42"/>
    </row>
    <row r="7" spans="1:10" x14ac:dyDescent="0.2">
      <c r="A7" s="11"/>
      <c r="B7" s="11"/>
      <c r="C7" s="11"/>
      <c r="D7" s="11"/>
      <c r="E7" s="11"/>
      <c r="F7" s="11"/>
      <c r="G7" s="11"/>
      <c r="H7" s="11"/>
      <c r="I7" s="11"/>
    </row>
    <row r="8" spans="1:10" ht="26.4" x14ac:dyDescent="0.2">
      <c r="A8" s="6" t="s">
        <v>4</v>
      </c>
      <c r="B8" s="7" t="s">
        <v>21</v>
      </c>
      <c r="C8" s="6" t="s">
        <v>15</v>
      </c>
      <c r="D8" s="6" t="s">
        <v>16</v>
      </c>
      <c r="E8" s="6" t="s">
        <v>17</v>
      </c>
      <c r="F8" s="7" t="s">
        <v>22</v>
      </c>
      <c r="G8" s="7" t="s">
        <v>23</v>
      </c>
      <c r="H8" s="6" t="s">
        <v>18</v>
      </c>
      <c r="I8" s="6" t="s">
        <v>19</v>
      </c>
    </row>
    <row r="9" spans="1:10" ht="198" x14ac:dyDescent="0.2">
      <c r="A9" s="27" t="s">
        <v>53</v>
      </c>
      <c r="B9" s="17">
        <f t="shared" ref="B9" ca="1" si="0">IF(A9&lt;&gt;"",1,INDIRECT(ADDRESS(ROW(B9)-1,COLUMN(B9),4))+1)</f>
        <v>1</v>
      </c>
      <c r="C9" s="12" t="s">
        <v>38</v>
      </c>
      <c r="D9" s="13" t="s">
        <v>54</v>
      </c>
      <c r="E9" s="28" t="s">
        <v>56</v>
      </c>
      <c r="F9" s="13" t="s">
        <v>57</v>
      </c>
      <c r="G9" s="13" t="s">
        <v>58</v>
      </c>
      <c r="H9" s="13" t="s">
        <v>60</v>
      </c>
      <c r="I9" s="14" t="s">
        <v>43</v>
      </c>
      <c r="J9" s="25"/>
    </row>
  </sheetData>
  <mergeCells count="5">
    <mergeCell ref="A1:B1"/>
    <mergeCell ref="A2:B3"/>
    <mergeCell ref="C2:C3"/>
    <mergeCell ref="A5:I5"/>
    <mergeCell ref="A6:I6"/>
  </mergeCells>
  <phoneticPr fontId="2"/>
  <conditionalFormatting sqref="B9">
    <cfRule type="expression" dxfId="9" priority="35">
      <formula>B9&lt;&gt;""</formula>
    </cfRule>
  </conditionalFormatting>
  <conditionalFormatting sqref="B9">
    <cfRule type="expression" dxfId="8" priority="34">
      <formula>B9&lt;&gt;""</formula>
    </cfRule>
  </conditionalFormatting>
  <conditionalFormatting sqref="B9">
    <cfRule type="expression" dxfId="7" priority="33">
      <formula>B9&lt;&gt;""</formula>
    </cfRule>
  </conditionalFormatting>
  <conditionalFormatting sqref="B9">
    <cfRule type="expression" dxfId="6" priority="32">
      <formula>B9&lt;&gt;""</formula>
    </cfRule>
  </conditionalFormatting>
  <conditionalFormatting sqref="B9">
    <cfRule type="expression" dxfId="5" priority="31">
      <formula>B9&lt;&gt;""</formula>
    </cfRule>
  </conditionalFormatting>
  <dataValidations count="2">
    <dataValidation type="list" allowBlank="1" showInputMessage="1" showErrorMessage="1" sqref="C9">
      <formula1>"正常,クライアントエラー,サーバーエラー"</formula1>
    </dataValidation>
    <dataValidation type="list" allowBlank="1" showInputMessage="1" showErrorMessage="1" sqref="I9">
      <formula1>"Selenium:○,Seleniumu:△,Selenium:×,JUnit:○,JUnit:△,Junit:×,手動実行,机上"</formula1>
    </dataValidation>
  </dataValidations>
  <hyperlinks>
    <hyperlink ref="A2" location="大中項目!A1" display="目次へ"/>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
  <sheetViews>
    <sheetView zoomScale="85" zoomScaleNormal="85" workbookViewId="0">
      <pane ySplit="8" topLeftCell="A9" activePane="bottomLeft" state="frozen"/>
      <selection pane="bottomLeft" sqref="A1:B1"/>
    </sheetView>
  </sheetViews>
  <sheetFormatPr defaultRowHeight="13.2" x14ac:dyDescent="0.2"/>
  <cols>
    <col min="1" max="1" width="11.21875" customWidth="1"/>
    <col min="2" max="2" width="8.6640625" customWidth="1"/>
    <col min="3" max="3" width="10.33203125" customWidth="1"/>
    <col min="4" max="4" width="25.109375" customWidth="1"/>
    <col min="5" max="5" width="42.77734375" customWidth="1"/>
    <col min="6" max="7" width="41.77734375" customWidth="1"/>
    <col min="8" max="8" width="42" customWidth="1"/>
    <col min="9" max="9" width="16.77734375" customWidth="1"/>
  </cols>
  <sheetData>
    <row r="1" spans="1:10" ht="26.4" x14ac:dyDescent="0.2">
      <c r="A1" s="29" t="s">
        <v>6</v>
      </c>
      <c r="B1" s="30"/>
      <c r="C1" s="6" t="s">
        <v>7</v>
      </c>
      <c r="D1" s="6" t="s">
        <v>8</v>
      </c>
      <c r="E1" s="6" t="s">
        <v>9</v>
      </c>
      <c r="F1" s="6" t="s">
        <v>10</v>
      </c>
      <c r="G1" s="6" t="s">
        <v>11</v>
      </c>
      <c r="H1" s="7" t="s">
        <v>12</v>
      </c>
    </row>
    <row r="2" spans="1:10" x14ac:dyDescent="0.2">
      <c r="A2" s="31" t="s">
        <v>20</v>
      </c>
      <c r="B2" s="32"/>
      <c r="C2" s="35">
        <f>COUNTA($D$9:$D$65494)</f>
        <v>1</v>
      </c>
      <c r="D2" s="16" t="str">
        <f>大中項目!B1</f>
        <v>CAAB</v>
      </c>
      <c r="E2" s="15" t="s">
        <v>62</v>
      </c>
      <c r="F2" s="9"/>
      <c r="G2" s="9"/>
      <c r="H2" s="8"/>
    </row>
    <row r="3" spans="1:10" x14ac:dyDescent="0.2">
      <c r="A3" s="33"/>
      <c r="B3" s="34"/>
      <c r="C3" s="36"/>
      <c r="D3" s="16" t="str">
        <f>大中項目!B2</f>
        <v>キャッシュの抽象化（Cache Abstraction）</v>
      </c>
      <c r="E3" s="15" t="s">
        <v>63</v>
      </c>
      <c r="F3" s="9"/>
      <c r="G3" s="9"/>
      <c r="H3" s="9"/>
    </row>
    <row r="4" spans="1:10" x14ac:dyDescent="0.2">
      <c r="A4" s="10"/>
      <c r="B4" s="10"/>
      <c r="C4" s="10"/>
      <c r="D4" s="10"/>
      <c r="E4" s="10"/>
      <c r="F4" s="10"/>
      <c r="G4" s="10"/>
      <c r="H4" s="10"/>
      <c r="I4" s="10"/>
    </row>
    <row r="5" spans="1:10" x14ac:dyDescent="0.2">
      <c r="A5" s="37" t="s">
        <v>13</v>
      </c>
      <c r="B5" s="38"/>
      <c r="C5" s="38"/>
      <c r="D5" s="38"/>
      <c r="E5" s="38"/>
      <c r="F5" s="38"/>
      <c r="G5" s="38"/>
      <c r="H5" s="38"/>
      <c r="I5" s="39"/>
    </row>
    <row r="6" spans="1:10" ht="42" customHeight="1" x14ac:dyDescent="0.2">
      <c r="A6" s="40" t="s">
        <v>14</v>
      </c>
      <c r="B6" s="41"/>
      <c r="C6" s="41"/>
      <c r="D6" s="41"/>
      <c r="E6" s="41"/>
      <c r="F6" s="41"/>
      <c r="G6" s="41"/>
      <c r="H6" s="41"/>
      <c r="I6" s="42"/>
    </row>
    <row r="7" spans="1:10" x14ac:dyDescent="0.2">
      <c r="A7" s="11"/>
      <c r="B7" s="11"/>
      <c r="C7" s="11"/>
      <c r="D7" s="11"/>
      <c r="E7" s="11"/>
      <c r="F7" s="11"/>
      <c r="G7" s="11"/>
      <c r="H7" s="11"/>
      <c r="I7" s="11"/>
    </row>
    <row r="8" spans="1:10" ht="26.4" x14ac:dyDescent="0.2">
      <c r="A8" s="6" t="s">
        <v>4</v>
      </c>
      <c r="B8" s="7" t="s">
        <v>21</v>
      </c>
      <c r="C8" s="6" t="s">
        <v>15</v>
      </c>
      <c r="D8" s="6" t="s">
        <v>16</v>
      </c>
      <c r="E8" s="6" t="s">
        <v>17</v>
      </c>
      <c r="F8" s="7" t="s">
        <v>22</v>
      </c>
      <c r="G8" s="7" t="s">
        <v>23</v>
      </c>
      <c r="H8" s="6" t="s">
        <v>18</v>
      </c>
      <c r="I8" s="6" t="s">
        <v>19</v>
      </c>
    </row>
    <row r="9" spans="1:10" ht="166.8" customHeight="1" x14ac:dyDescent="0.2">
      <c r="A9" s="27" t="s">
        <v>61</v>
      </c>
      <c r="B9" s="17">
        <f t="shared" ref="B9" ca="1" si="0">IF(A9&lt;&gt;"",1,INDIRECT(ADDRESS(ROW(B9)-1,COLUMN(B9),4))+1)</f>
        <v>1</v>
      </c>
      <c r="C9" s="12" t="s">
        <v>38</v>
      </c>
      <c r="D9" s="13" t="s">
        <v>66</v>
      </c>
      <c r="E9" s="13" t="s">
        <v>65</v>
      </c>
      <c r="F9" s="13" t="s">
        <v>64</v>
      </c>
      <c r="G9" s="13" t="s">
        <v>68</v>
      </c>
      <c r="H9" s="13" t="s">
        <v>67</v>
      </c>
      <c r="I9" s="14" t="s">
        <v>43</v>
      </c>
      <c r="J9" s="25"/>
    </row>
  </sheetData>
  <mergeCells count="5">
    <mergeCell ref="A1:B1"/>
    <mergeCell ref="A2:B3"/>
    <mergeCell ref="C2:C3"/>
    <mergeCell ref="A5:I5"/>
    <mergeCell ref="A6:I6"/>
  </mergeCells>
  <phoneticPr fontId="2"/>
  <conditionalFormatting sqref="B9">
    <cfRule type="expression" dxfId="4" priority="5">
      <formula>B9&lt;&gt;""</formula>
    </cfRule>
  </conditionalFormatting>
  <conditionalFormatting sqref="B9">
    <cfRule type="expression" dxfId="3" priority="4">
      <formula>B9&lt;&gt;""</formula>
    </cfRule>
  </conditionalFormatting>
  <conditionalFormatting sqref="B9">
    <cfRule type="expression" dxfId="2" priority="3">
      <formula>B9&lt;&gt;""</formula>
    </cfRule>
  </conditionalFormatting>
  <conditionalFormatting sqref="B9">
    <cfRule type="expression" dxfId="1" priority="2">
      <formula>B9&lt;&gt;""</formula>
    </cfRule>
  </conditionalFormatting>
  <conditionalFormatting sqref="B9">
    <cfRule type="expression" dxfId="0" priority="1">
      <formula>B9&lt;&gt;""</formula>
    </cfRule>
  </conditionalFormatting>
  <dataValidations count="2">
    <dataValidation type="list" allowBlank="1" showInputMessage="1" showErrorMessage="1" sqref="C9">
      <formula1>"正常,クライアントエラー,サーバーエラー"</formula1>
    </dataValidation>
    <dataValidation type="list" allowBlank="1" showInputMessage="1" showErrorMessage="1" sqref="I9">
      <formula1>"Selenium:○,Seleniumu:△,Selenium:×,JUnit:○,JUnit:△,Junit:×,手動実行,机上"</formula1>
    </dataValidation>
  </dataValidations>
  <hyperlinks>
    <hyperlink ref="A2" location="大中項目!A1" display="目次へ"/>
  </hyperlinks>
  <pageMargins left="0.39370078740157483" right="0.39370078740157483" top="0.59055118110236227" bottom="0.59055118110236227" header="0.31496062992125984" footer="0.31496062992125984"/>
  <pageSetup paperSize="9" scale="59" fitToHeight="0" orientation="landscape" r:id="rId1"/>
  <headerFooter>
    <oddFooter>&amp;C&amp;P/&amp;N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大中項目</vt:lpstr>
      <vt:lpstr>CAAB01</vt:lpstr>
      <vt:lpstr>CAAB02</vt:lpstr>
      <vt:lpstr>CAAB03</vt:lpstr>
      <vt:lpstr>CAAB04</vt:lpstr>
      <vt:lpstr>CAAB01!Print_Titles</vt:lpstr>
      <vt:lpstr>CAAB02!Print_Titles</vt:lpstr>
      <vt:lpstr>CAAB03!Print_Titles</vt:lpstr>
      <vt:lpstr>CAAB04!Print_Titles</vt:lpstr>
      <vt:lpstr>大中項目!Print_Titles</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btishiwatasns</dc:creator>
  <cp:lastModifiedBy>terafwXXXX</cp:lastModifiedBy>
  <cp:lastPrinted>2013-11-12T01:02:24Z</cp:lastPrinted>
  <dcterms:created xsi:type="dcterms:W3CDTF">2013-11-07T11:05:46Z</dcterms:created>
  <dcterms:modified xsi:type="dcterms:W3CDTF">2017-09-25T12:43:56Z</dcterms:modified>
</cp:coreProperties>
</file>