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yggd\macchinetta-cloud-functionaltest\docs\02_機能毎のテスト\"/>
    </mc:Choice>
  </mc:AlternateContent>
  <bookViews>
    <workbookView xWindow="1440" yWindow="3468" windowWidth="25020" windowHeight="8340" activeTab="1"/>
  </bookViews>
  <sheets>
    <sheet name="大中項目" sheetId="1" r:id="rId1"/>
    <sheet name="UPFM01" sheetId="6" r:id="rId2"/>
  </sheets>
  <definedNames>
    <definedName name="_xlnm.Print_Titles" localSheetId="1">UPFM01!$1:$8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D3" i="6" l="1"/>
  <c r="D2" i="6"/>
  <c r="A14" i="1"/>
  <c r="A12" i="1"/>
  <c r="A11" i="1"/>
  <c r="A9" i="1"/>
  <c r="A7" i="1"/>
  <c r="A13" i="1"/>
  <c r="A10" i="1"/>
  <c r="A8" i="1"/>
  <c r="A6" i="1"/>
  <c r="B9" i="6"/>
  <c r="C5" i="1" l="1"/>
  <c r="B10" i="6"/>
  <c r="C6" i="1" l="1"/>
  <c r="B11" i="6"/>
  <c r="C7" i="1" l="1"/>
  <c r="B12" i="6"/>
  <c r="C8" i="1" l="1"/>
  <c r="C2" i="6"/>
  <c r="B13" i="6"/>
  <c r="B14" i="6"/>
  <c r="C9" i="1" l="1"/>
  <c r="B15" i="6"/>
  <c r="C10" i="1" l="1"/>
  <c r="B16" i="6"/>
  <c r="C11" i="1" l="1"/>
  <c r="B17" i="6"/>
  <c r="C12" i="1" l="1"/>
  <c r="B18" i="6"/>
  <c r="C13" i="1" l="1"/>
  <c r="B19" i="6"/>
  <c r="C14" i="1" l="1"/>
  <c r="B20" i="6"/>
</calcChain>
</file>

<file path=xl/sharedStrings.xml><?xml version="1.0" encoding="utf-8"?>
<sst xmlns="http://schemas.openxmlformats.org/spreadsheetml/2006/main" count="89" uniqueCount="62">
  <si>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</si>
  <si>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</si>
  <si>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</si>
  <si>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</si>
  <si>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</si>
  <si>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</si>
  <si>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</si>
  <si>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</si>
  <si>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</si>
  <si>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</si>
  <si>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</si>
  <si>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</si>
  <si>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</si>
  <si>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</si>
  <si>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</si>
  <si>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</si>
  <si>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</si>
  <si>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</si>
  <si>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</si>
  <si>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</si>
  <si>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</si>
  <si>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</si>
  <si>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</si>
  <si>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</si>
  <si>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</si>
  <si>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UPFM</t>
    <phoneticPr fontId="2"/>
  </si>
  <si>
    <t>アップロードファイル管理</t>
    <rPh sb="10" eb="12">
      <t>カンリ</t>
    </rPh>
    <phoneticPr fontId="2"/>
  </si>
  <si>
    <t>UPFM01</t>
    <phoneticPr fontId="2"/>
  </si>
  <si>
    <t>ファイル操作実行</t>
    <rPh sb="4" eb="6">
      <t>ソウサ</t>
    </rPh>
    <rPh sb="6" eb="8">
      <t>ジッコウ</t>
    </rPh>
    <phoneticPr fontId="2"/>
  </si>
  <si>
    <t>ファイルのアップロードが行える事を確認する。</t>
    <rPh sb="12" eb="13">
      <t>オコナ</t>
    </rPh>
    <rPh sb="15" eb="16">
      <t>コト</t>
    </rPh>
    <rPh sb="17" eb="19">
      <t>カクニン</t>
    </rPh>
    <phoneticPr fontId="2"/>
  </si>
  <si>
    <t>単一ファイルの削除が行える事を確認する。</t>
    <rPh sb="0" eb="2">
      <t>タンイツ</t>
    </rPh>
    <rPh sb="7" eb="9">
      <t>サクジョ</t>
    </rPh>
    <rPh sb="10" eb="11">
      <t>オコナ</t>
    </rPh>
    <rPh sb="13" eb="14">
      <t>コト</t>
    </rPh>
    <rPh sb="15" eb="17">
      <t>カクニン</t>
    </rPh>
    <phoneticPr fontId="2"/>
  </si>
  <si>
    <t>複数ファイルの削除が行える事を確認する。</t>
    <rPh sb="0" eb="2">
      <t>フクスウ</t>
    </rPh>
    <rPh sb="7" eb="9">
      <t>サクジョ</t>
    </rPh>
    <rPh sb="10" eb="11">
      <t>オコナ</t>
    </rPh>
    <rPh sb="13" eb="14">
      <t>コト</t>
    </rPh>
    <rPh sb="15" eb="17">
      <t>カクニン</t>
    </rPh>
    <phoneticPr fontId="2"/>
  </si>
  <si>
    <t>ファイル検索が行える事を確認する。</t>
    <rPh sb="4" eb="6">
      <t>ケンサク</t>
    </rPh>
    <rPh sb="7" eb="8">
      <t>オコナ</t>
    </rPh>
    <rPh sb="10" eb="11">
      <t>コト</t>
    </rPh>
    <rPh sb="12" eb="14">
      <t>カクニン</t>
    </rPh>
    <phoneticPr fontId="2"/>
  </si>
  <si>
    <t>UPFM0101</t>
    <phoneticPr fontId="2"/>
  </si>
  <si>
    <t>UPFM0102</t>
    <phoneticPr fontId="2"/>
  </si>
  <si>
    <t>UPFM0103</t>
    <phoneticPr fontId="2"/>
  </si>
  <si>
    <t>UPFM0104</t>
    <phoneticPr fontId="2"/>
  </si>
  <si>
    <t>正常</t>
  </si>
  <si>
    <t>・S3上にアップロード対象のバケットが存在すること</t>
    <rPh sb="3" eb="4">
      <t>ジョウ</t>
    </rPh>
    <rPh sb="11" eb="13">
      <t>タイショウ</t>
    </rPh>
    <rPh sb="19" eb="21">
      <t>ソンザイ</t>
    </rPh>
    <phoneticPr fontId="2"/>
  </si>
  <si>
    <t>・アップロードに使用したファイルと、実施後にS3から取得したファイルを比較し、同一であることを確認する。</t>
    <rPh sb="8" eb="10">
      <t>シヨウ</t>
    </rPh>
    <rPh sb="18" eb="21">
      <t>ジッシゴ</t>
    </rPh>
    <rPh sb="26" eb="28">
      <t>シュトク</t>
    </rPh>
    <rPh sb="35" eb="37">
      <t>ヒカク</t>
    </rPh>
    <rPh sb="39" eb="41">
      <t>ドウイツ</t>
    </rPh>
    <rPh sb="47" eb="49">
      <t>カクニン</t>
    </rPh>
    <phoneticPr fontId="2"/>
  </si>
  <si>
    <t>JUnit:○</t>
  </si>
  <si>
    <t>・削除したファイルが、S3上に存在しないことを、SDKを使用して確認する。</t>
    <rPh sb="1" eb="3">
      <t>サクジョ</t>
    </rPh>
    <rPh sb="13" eb="14">
      <t>ジョウ</t>
    </rPh>
    <rPh sb="15" eb="17">
      <t>ソンザイ</t>
    </rPh>
    <rPh sb="28" eb="30">
      <t>シヨウ</t>
    </rPh>
    <rPh sb="32" eb="34">
      <t>カクニン</t>
    </rPh>
    <phoneticPr fontId="2"/>
  </si>
  <si>
    <t>・S3バケット上に、削除対象のファイルを配置する</t>
    <rPh sb="7" eb="8">
      <t>ジョウ</t>
    </rPh>
    <rPh sb="10" eb="14">
      <t>サクジョタイショウ</t>
    </rPh>
    <rPh sb="20" eb="22">
      <t>ハイチ</t>
    </rPh>
    <phoneticPr fontId="2"/>
  </si>
  <si>
    <t>・S3バケット上に、削除対象のファイル(2つ)を配置する</t>
    <rPh sb="7" eb="8">
      <t>ジョウ</t>
    </rPh>
    <rPh sb="10" eb="14">
      <t>サクジョタイショウ</t>
    </rPh>
    <rPh sb="24" eb="26">
      <t>ハイチ</t>
    </rPh>
    <phoneticPr fontId="2"/>
  </si>
  <si>
    <t>・S3バケット上に、検索対象のファイル(2つ)を配置する</t>
    <rPh sb="7" eb="8">
      <t>ジョウ</t>
    </rPh>
    <rPh sb="10" eb="12">
      <t>ケンサク</t>
    </rPh>
    <rPh sb="12" eb="14">
      <t>タイショウ</t>
    </rPh>
    <rPh sb="24" eb="26">
      <t>ハイチ</t>
    </rPh>
    <phoneticPr fontId="2"/>
  </si>
  <si>
    <t>・検索結果のオブジェクトキーと、事前にファイルを配置した際のオブジェクトキーを比較して、同一であることを確認する。</t>
    <rPh sb="1" eb="3">
      <t>ケンサク</t>
    </rPh>
    <rPh sb="3" eb="5">
      <t>ケッカ</t>
    </rPh>
    <rPh sb="16" eb="18">
      <t>ジゼン</t>
    </rPh>
    <rPh sb="24" eb="26">
      <t>ハイチ</t>
    </rPh>
    <rPh sb="28" eb="29">
      <t>サイ</t>
    </rPh>
    <rPh sb="39" eb="41">
      <t>ヒカク</t>
    </rPh>
    <rPh sb="44" eb="46">
      <t>ドウイツ</t>
    </rPh>
    <rPh sb="52" eb="54">
      <t>カクニン</t>
    </rPh>
    <phoneticPr fontId="2"/>
  </si>
  <si>
    <t>S3上に存在しないオブジェクトキーを指定して削除を行う。</t>
    <rPh sb="2" eb="3">
      <t>ジョウ</t>
    </rPh>
    <rPh sb="4" eb="6">
      <t>ソンザイ</t>
    </rPh>
    <rPh sb="18" eb="20">
      <t>シテイ</t>
    </rPh>
    <rPh sb="22" eb="24">
      <t>サクジョ</t>
    </rPh>
    <rPh sb="25" eb="26">
      <t>オコナ</t>
    </rPh>
    <phoneticPr fontId="2"/>
  </si>
  <si>
    <t>S3上に存在しないオブジェクトキーパターンを指定して検索を行う。</t>
    <rPh sb="2" eb="3">
      <t>ジョウ</t>
    </rPh>
    <rPh sb="4" eb="6">
      <t>ソンザイ</t>
    </rPh>
    <rPh sb="22" eb="24">
      <t>シテイ</t>
    </rPh>
    <rPh sb="26" eb="28">
      <t>ケンサク</t>
    </rPh>
    <rPh sb="29" eb="30">
      <t>オコナ</t>
    </rPh>
    <phoneticPr fontId="2"/>
  </si>
  <si>
    <t>UPFM0105</t>
    <phoneticPr fontId="2"/>
  </si>
  <si>
    <t>S3上に存在しないオブジェクトキーを指定して単一ファイルの削除を行う。</t>
    <rPh sb="2" eb="3">
      <t>ジョウ</t>
    </rPh>
    <rPh sb="4" eb="6">
      <t>ソンザイ</t>
    </rPh>
    <rPh sb="18" eb="20">
      <t>シテイ</t>
    </rPh>
    <rPh sb="22" eb="24">
      <t>タンイツ</t>
    </rPh>
    <rPh sb="29" eb="31">
      <t>サクジョ</t>
    </rPh>
    <rPh sb="32" eb="33">
      <t>オコナ</t>
    </rPh>
    <phoneticPr fontId="2"/>
  </si>
  <si>
    <t>・S3上にオブジェクト削除が可能なバケットが存在すること</t>
    <rPh sb="3" eb="4">
      <t>ジョウ</t>
    </rPh>
    <rPh sb="11" eb="13">
      <t>サクジョ</t>
    </rPh>
    <rPh sb="14" eb="16">
      <t>カノウ</t>
    </rPh>
    <rPh sb="22" eb="24">
      <t>ソンザイ</t>
    </rPh>
    <phoneticPr fontId="2"/>
  </si>
  <si>
    <t>・例外が発生せず、そのままAPIがリターンすること。</t>
    <rPh sb="1" eb="3">
      <t>レイガイ</t>
    </rPh>
    <rPh sb="4" eb="6">
      <t>ハッセイ</t>
    </rPh>
    <phoneticPr fontId="2"/>
  </si>
  <si>
    <t>S3上に存在しないオブジェクトキーを指定して複数ファイルの削除を行う。</t>
    <rPh sb="2" eb="3">
      <t>ジョウ</t>
    </rPh>
    <rPh sb="4" eb="6">
      <t>ソンザイ</t>
    </rPh>
    <rPh sb="18" eb="20">
      <t>シテイ</t>
    </rPh>
    <rPh sb="22" eb="24">
      <t>フクスウ</t>
    </rPh>
    <rPh sb="29" eb="31">
      <t>サクジョ</t>
    </rPh>
    <rPh sb="32" eb="33">
      <t>オコナ</t>
    </rPh>
    <phoneticPr fontId="2"/>
  </si>
  <si>
    <t>UPFM0106</t>
    <phoneticPr fontId="2"/>
  </si>
  <si>
    <t>正常</t>
    <rPh sb="0" eb="2">
      <t>セイジョウ</t>
    </rPh>
    <phoneticPr fontId="2"/>
  </si>
  <si>
    <t>S3上に存在しないオブジェクトキーパターンを指定してファイル検索を行う。</t>
    <rPh sb="2" eb="3">
      <t>ジョウ</t>
    </rPh>
    <rPh sb="4" eb="6">
      <t>ソンザイ</t>
    </rPh>
    <rPh sb="22" eb="24">
      <t>シテイ</t>
    </rPh>
    <rPh sb="30" eb="32">
      <t>ケンサク</t>
    </rPh>
    <rPh sb="33" eb="34">
      <t>オコナ</t>
    </rPh>
    <phoneticPr fontId="2"/>
  </si>
  <si>
    <t>・S3上にオブジェクト検索が可能なバケットが存在すること</t>
    <rPh sb="3" eb="4">
      <t>ジョウ</t>
    </rPh>
    <rPh sb="11" eb="13">
      <t>ケンサク</t>
    </rPh>
    <rPh sb="14" eb="16">
      <t>カノウ</t>
    </rPh>
    <rPh sb="22" eb="24">
      <t>ソンザイ</t>
    </rPh>
    <phoneticPr fontId="2"/>
  </si>
  <si>
    <t>・S3バケット上に試験対象のファイルを配置しない。</t>
    <rPh sb="7" eb="8">
      <t>ジョウ</t>
    </rPh>
    <rPh sb="9" eb="13">
      <t>シケンタイショウ</t>
    </rPh>
    <rPh sb="19" eb="21">
      <t>ハイチ</t>
    </rPh>
    <phoneticPr fontId="2"/>
  </si>
  <si>
    <t>・検索条件にマッチする配列が空であること。</t>
    <rPh sb="1" eb="5">
      <t>ケンサクジョウケン</t>
    </rPh>
    <rPh sb="11" eb="13">
      <t>ハイレツ</t>
    </rPh>
    <rPh sb="14" eb="15">
      <t>カラ</t>
    </rPh>
    <phoneticPr fontId="2"/>
  </si>
  <si>
    <t>S3上に存在・非存在が混在しているオブジェクトキーを指定して複数ファイルの削除を行う。</t>
    <rPh sb="2" eb="3">
      <t>ジョウ</t>
    </rPh>
    <rPh sb="4" eb="6">
      <t>ソンザイ</t>
    </rPh>
    <rPh sb="7" eb="10">
      <t>ヒソンザイ</t>
    </rPh>
    <rPh sb="11" eb="13">
      <t>コンザイ</t>
    </rPh>
    <rPh sb="26" eb="28">
      <t>シテイ</t>
    </rPh>
    <rPh sb="30" eb="32">
      <t>フクスウ</t>
    </rPh>
    <rPh sb="37" eb="39">
      <t>サクジョ</t>
    </rPh>
    <rPh sb="40" eb="41">
      <t>オコナ</t>
    </rPh>
    <phoneticPr fontId="2"/>
  </si>
  <si>
    <t>・S3バケット上に削除対象のオブジェクトのみを配置する。</t>
    <rPh sb="7" eb="8">
      <t>ジョウ</t>
    </rPh>
    <rPh sb="9" eb="11">
      <t>サクジョ</t>
    </rPh>
    <rPh sb="11" eb="13">
      <t>タイショウ</t>
    </rPh>
    <rPh sb="23" eb="25">
      <t>ハイチ</t>
    </rPh>
    <phoneticPr fontId="2"/>
  </si>
  <si>
    <t>・例外が発生せず、S3上に存在するオブジェクトが削除されていること。</t>
    <rPh sb="1" eb="3">
      <t>レイガイ</t>
    </rPh>
    <rPh sb="4" eb="6">
      <t>ハッセイ</t>
    </rPh>
    <rPh sb="11" eb="12">
      <t>ジョウ</t>
    </rPh>
    <rPh sb="13" eb="15">
      <t>ソンザイ</t>
    </rPh>
    <rPh sb="24" eb="26">
      <t>サクジョ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</si>
</sst>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8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D11" sqref="D11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25</v>
      </c>
      <c r="C1" s="31" t="s">
        <v>24</v>
      </c>
    </row>
    <row r="2" spans="1:4" x14ac:dyDescent="0.2">
      <c r="A2" s="3" t="s">
        <v>1</v>
      </c>
      <c r="B2" s="2" t="s">
        <v>26</v>
      </c>
      <c r="C2" s="2">
        <v>4</v>
      </c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">
      <c r="A5" s="26" t="s">
        <v>27</v>
      </c>
      <c r="B5" s="23" t="s">
        <v>28</v>
      </c>
      <c r="C5" s="30" t="str">
        <f>IF(B5="",($B$1&amp;TEXT(IF(B5="",COUNTA($B$5:B5),1),"00")),A5)&amp;IF(B5&lt;&gt;"",TEXT(1,"00"),TEXT(IF(A5&lt;&gt;"",1,RIGHT(C4,2)+1),"00"))</f>
        <v>UPFM0101</v>
      </c>
      <c r="D5" s="5" t="s">
        <v>29</v>
      </c>
    </row>
    <row r="6" spans="1:4" x14ac:dyDescent="0.2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UPFM0102</v>
      </c>
      <c r="D6" s="5" t="s">
        <v>30</v>
      </c>
    </row>
    <row r="7" spans="1:4" x14ac:dyDescent="0.2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UPFM0103</v>
      </c>
      <c r="D7" s="5" t="s">
        <v>31</v>
      </c>
    </row>
    <row r="8" spans="1:4" x14ac:dyDescent="0.2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UPFM0104</v>
      </c>
      <c r="D8" s="5" t="s">
        <v>32</v>
      </c>
    </row>
    <row r="9" spans="1:4" x14ac:dyDescent="0.2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UPFM0105</v>
      </c>
      <c r="D9" s="5" t="s">
        <v>46</v>
      </c>
    </row>
    <row r="10" spans="1:4" x14ac:dyDescent="0.2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UPFM0106</v>
      </c>
      <c r="D10" s="5" t="s">
        <v>47</v>
      </c>
    </row>
    <row r="11" spans="1:4" x14ac:dyDescent="0.2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UPFM0107</v>
      </c>
      <c r="D11" s="5"/>
    </row>
    <row r="12" spans="1:4" x14ac:dyDescent="0.2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UPFM0108</v>
      </c>
      <c r="D12" s="5"/>
    </row>
    <row r="13" spans="1:4" x14ac:dyDescent="0.2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UPFM0109</v>
      </c>
      <c r="D13" s="5"/>
    </row>
    <row r="14" spans="1:4" x14ac:dyDescent="0.2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UPFM0110</v>
      </c>
      <c r="D14" s="5"/>
    </row>
  </sheetData>
  <phoneticPr fontId="2"/>
  <conditionalFormatting sqref="B5">
    <cfRule type="expression" dxfId="80" priority="40">
      <formula>B5&lt;&gt;""</formula>
    </cfRule>
  </conditionalFormatting>
  <conditionalFormatting sqref="B6">
    <cfRule type="expression" dxfId="79" priority="39">
      <formula>B6&lt;&gt;""</formula>
    </cfRule>
  </conditionalFormatting>
  <conditionalFormatting sqref="B7">
    <cfRule type="expression" dxfId="78" priority="38">
      <formula>B7&lt;&gt;""</formula>
    </cfRule>
  </conditionalFormatting>
  <conditionalFormatting sqref="B8">
    <cfRule type="expression" dxfId="77" priority="37">
      <formula>B8&lt;&gt;""</formula>
    </cfRule>
  </conditionalFormatting>
  <conditionalFormatting sqref="B9">
    <cfRule type="expression" dxfId="76" priority="36">
      <formula>B9&lt;&gt;""</formula>
    </cfRule>
  </conditionalFormatting>
  <conditionalFormatting sqref="B10">
    <cfRule type="expression" dxfId="75" priority="35">
      <formula>B10&lt;&gt;""</formula>
    </cfRule>
  </conditionalFormatting>
  <conditionalFormatting sqref="B11">
    <cfRule type="expression" dxfId="74" priority="34">
      <formula>B11&lt;&gt;""</formula>
    </cfRule>
  </conditionalFormatting>
  <conditionalFormatting sqref="B12">
    <cfRule type="expression" dxfId="73" priority="33">
      <formula>B12&lt;&gt;""</formula>
    </cfRule>
  </conditionalFormatting>
  <conditionalFormatting sqref="B13">
    <cfRule type="expression" dxfId="72" priority="32">
      <formula>B13&lt;&gt;""</formula>
    </cfRule>
  </conditionalFormatting>
  <conditionalFormatting sqref="B14">
    <cfRule type="expression" dxfId="71" priority="31">
      <formula>B14&lt;&gt;""</formula>
    </cfRule>
  </conditionalFormatting>
  <conditionalFormatting sqref="A5">
    <cfRule type="expression" dxfId="70" priority="30">
      <formula>A5&lt;&gt;""</formula>
    </cfRule>
  </conditionalFormatting>
  <conditionalFormatting sqref="A8">
    <cfRule type="expression" dxfId="69" priority="27">
      <formula>A8&lt;&gt;""</formula>
    </cfRule>
  </conditionalFormatting>
  <conditionalFormatting sqref="A9">
    <cfRule type="expression" dxfId="68" priority="26">
      <formula>A9&lt;&gt;""</formula>
    </cfRule>
  </conditionalFormatting>
  <conditionalFormatting sqref="A10">
    <cfRule type="expression" dxfId="67" priority="25">
      <formula>A10&lt;&gt;""</formula>
    </cfRule>
  </conditionalFormatting>
  <conditionalFormatting sqref="A11">
    <cfRule type="expression" dxfId="66" priority="24">
      <formula>A11&lt;&gt;""</formula>
    </cfRule>
  </conditionalFormatting>
  <conditionalFormatting sqref="A12">
    <cfRule type="expression" dxfId="65" priority="23">
      <formula>A12&lt;&gt;""</formula>
    </cfRule>
  </conditionalFormatting>
  <conditionalFormatting sqref="A13">
    <cfRule type="expression" dxfId="64" priority="22">
      <formula>A13&lt;&gt;""</formula>
    </cfRule>
  </conditionalFormatting>
  <conditionalFormatting sqref="A14">
    <cfRule type="expression" dxfId="63" priority="21">
      <formula>A14&lt;&gt;""</formula>
    </cfRule>
  </conditionalFormatting>
  <conditionalFormatting sqref="A14">
    <cfRule type="expression" dxfId="62" priority="20">
      <formula>A14&lt;&gt;""</formula>
    </cfRule>
  </conditionalFormatting>
  <conditionalFormatting sqref="A11">
    <cfRule type="expression" dxfId="61" priority="19">
      <formula>A11&lt;&gt;""</formula>
    </cfRule>
  </conditionalFormatting>
  <conditionalFormatting sqref="A12">
    <cfRule type="expression" dxfId="60" priority="18">
      <formula>A12&lt;&gt;""</formula>
    </cfRule>
  </conditionalFormatting>
  <conditionalFormatting sqref="A6">
    <cfRule type="expression" dxfId="59" priority="15">
      <formula>A6&lt;&gt;""</formula>
    </cfRule>
  </conditionalFormatting>
  <conditionalFormatting sqref="A7">
    <cfRule type="expression" dxfId="58" priority="14">
      <formula>A7&lt;&gt;""</formula>
    </cfRule>
  </conditionalFormatting>
  <conditionalFormatting sqref="A8">
    <cfRule type="expression" dxfId="57" priority="13">
      <formula>A8&lt;&gt;""</formula>
    </cfRule>
  </conditionalFormatting>
  <conditionalFormatting sqref="A9">
    <cfRule type="expression" dxfId="56" priority="12">
      <formula>A9&lt;&gt;""</formula>
    </cfRule>
  </conditionalFormatting>
  <conditionalFormatting sqref="A10">
    <cfRule type="expression" dxfId="55" priority="11">
      <formula>A10&lt;&gt;""</formula>
    </cfRule>
  </conditionalFormatting>
  <conditionalFormatting sqref="A11">
    <cfRule type="expression" dxfId="54" priority="10">
      <formula>A11&lt;&gt;""</formula>
    </cfRule>
  </conditionalFormatting>
  <conditionalFormatting sqref="A12">
    <cfRule type="expression" dxfId="53" priority="9">
      <formula>A12&lt;&gt;""</formula>
    </cfRule>
  </conditionalFormatting>
  <conditionalFormatting sqref="A13">
    <cfRule type="expression" dxfId="52" priority="8">
      <formula>A13&lt;&gt;""</formula>
    </cfRule>
  </conditionalFormatting>
  <conditionalFormatting sqref="A14">
    <cfRule type="expression" dxfId="51" priority="7">
      <formula>A14&lt;&gt;""</formula>
    </cfRule>
  </conditionalFormatting>
  <conditionalFormatting sqref="A7">
    <cfRule type="expression" dxfId="50" priority="6">
      <formula>A7&lt;&gt;""</formula>
    </cfRule>
  </conditionalFormatting>
  <conditionalFormatting sqref="A9">
    <cfRule type="expression" dxfId="49" priority="5">
      <formula>A9&lt;&gt;""</formula>
    </cfRule>
  </conditionalFormatting>
  <conditionalFormatting sqref="A11">
    <cfRule type="expression" dxfId="48" priority="4">
      <formula>A11&lt;&gt;""</formula>
    </cfRule>
  </conditionalFormatting>
  <conditionalFormatting sqref="A12">
    <cfRule type="expression" dxfId="47" priority="3">
      <formula>A12&lt;&gt;""</formula>
    </cfRule>
  </conditionalFormatting>
  <conditionalFormatting sqref="A14">
    <cfRule type="expression" dxfId="46" priority="2">
      <formula>A14&lt;&gt;""</formula>
    </cfRule>
  </conditionalFormatting>
  <conditionalFormatting sqref="A14">
    <cfRule type="expression" dxfId="45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zoomScale="70" zoomScaleNormal="70" workbookViewId="0">
      <pane ySplit="8" topLeftCell="A9" activePane="bottomLeft" state="frozen"/>
      <selection pane="bottomLeft" activeCell="H16" sqref="H16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5" t="s">
        <v>20</v>
      </c>
      <c r="B2" s="36"/>
      <c r="C2" s="39">
        <f>COUNTA($D$9:$D$65506)</f>
        <v>8</v>
      </c>
      <c r="D2" s="21" t="str">
        <f>大中項目!B1</f>
        <v>UPFM</v>
      </c>
      <c r="E2" s="19"/>
      <c r="F2" s="9"/>
      <c r="G2" s="9"/>
      <c r="H2" s="8"/>
    </row>
    <row r="3" spans="1:10" x14ac:dyDescent="0.2">
      <c r="A3" s="37"/>
      <c r="B3" s="38"/>
      <c r="C3" s="40"/>
      <c r="D3" s="21" t="str">
        <f>大中項目!B2</f>
        <v>アップロードファイル管理</v>
      </c>
      <c r="E3" s="19"/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2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39.6" x14ac:dyDescent="0.2">
      <c r="A9" s="12" t="s">
        <v>33</v>
      </c>
      <c r="B9" s="20">
        <f t="shared" ref="B9:B20" ca="1" si="0">IF(A9&lt;&gt;"",1,INDIRECT(ADDRESS(ROW(B9)-1,COLUMN(B9),4))+1)</f>
        <v>1</v>
      </c>
      <c r="C9" s="13" t="s">
        <v>37</v>
      </c>
      <c r="D9" s="5" t="s">
        <v>29</v>
      </c>
      <c r="E9" s="14"/>
      <c r="F9" s="14" t="s">
        <v>38</v>
      </c>
      <c r="G9" s="14"/>
      <c r="H9" s="14" t="s">
        <v>39</v>
      </c>
      <c r="I9" s="15" t="s">
        <v>40</v>
      </c>
      <c r="J9" s="32"/>
    </row>
    <row r="10" spans="1:10" ht="26.4" x14ac:dyDescent="0.2">
      <c r="A10" s="16" t="s">
        <v>34</v>
      </c>
      <c r="B10" s="20">
        <f t="shared" ca="1" si="0"/>
        <v>1</v>
      </c>
      <c r="C10" s="13" t="s">
        <v>37</v>
      </c>
      <c r="D10" s="5" t="s">
        <v>30</v>
      </c>
      <c r="E10" s="17"/>
      <c r="F10" s="14" t="s">
        <v>50</v>
      </c>
      <c r="G10" s="17" t="s">
        <v>42</v>
      </c>
      <c r="H10" s="17" t="s">
        <v>41</v>
      </c>
      <c r="I10" s="15" t="s">
        <v>40</v>
      </c>
      <c r="J10" s="32"/>
    </row>
    <row r="11" spans="1:10" ht="26.4" x14ac:dyDescent="0.2">
      <c r="A11" s="16" t="s">
        <v>35</v>
      </c>
      <c r="B11" s="20">
        <f t="shared" ca="1" si="0"/>
        <v>1</v>
      </c>
      <c r="C11" s="13" t="s">
        <v>37</v>
      </c>
      <c r="D11" s="5" t="s">
        <v>31</v>
      </c>
      <c r="E11" s="17"/>
      <c r="F11" s="14" t="s">
        <v>50</v>
      </c>
      <c r="G11" s="17" t="s">
        <v>43</v>
      </c>
      <c r="H11" s="17" t="s">
        <v>41</v>
      </c>
      <c r="I11" s="15" t="s">
        <v>40</v>
      </c>
      <c r="J11" s="32"/>
    </row>
    <row r="12" spans="1:10" ht="39.6" x14ac:dyDescent="0.2">
      <c r="A12" s="16" t="s">
        <v>36</v>
      </c>
      <c r="B12" s="20">
        <f t="shared" ca="1" si="0"/>
        <v>1</v>
      </c>
      <c r="C12" s="13" t="s">
        <v>37</v>
      </c>
      <c r="D12" s="5" t="s">
        <v>32</v>
      </c>
      <c r="E12" s="17"/>
      <c r="F12" s="14" t="s">
        <v>50</v>
      </c>
      <c r="G12" s="17" t="s">
        <v>44</v>
      </c>
      <c r="H12" s="17" t="s">
        <v>45</v>
      </c>
      <c r="I12" s="15" t="s">
        <v>40</v>
      </c>
      <c r="J12" s="32"/>
    </row>
    <row r="13" spans="1:10" ht="39.6" x14ac:dyDescent="0.2">
      <c r="A13" s="16" t="s">
        <v>48</v>
      </c>
      <c r="B13" s="20">
        <f t="shared" ca="1" si="0"/>
        <v>1</v>
      </c>
      <c r="C13" s="13" t="s">
        <v>37</v>
      </c>
      <c r="D13" s="17" t="s">
        <v>49</v>
      </c>
      <c r="E13" s="17"/>
      <c r="F13" s="14" t="s">
        <v>50</v>
      </c>
      <c r="G13" s="17" t="s">
        <v>57</v>
      </c>
      <c r="H13" s="17" t="s">
        <v>51</v>
      </c>
      <c r="I13" s="15" t="s">
        <v>40</v>
      </c>
      <c r="J13" s="32"/>
    </row>
    <row r="14" spans="1:10" ht="39.6" x14ac:dyDescent="0.2">
      <c r="A14" s="16"/>
      <c r="B14" s="20">
        <f t="shared" ref="B14" ca="1" si="1">IF(A14&lt;&gt;"",1,INDIRECT(ADDRESS(ROW(B14)-1,COLUMN(B14),4))+1)</f>
        <v>2</v>
      </c>
      <c r="C14" s="13" t="s">
        <v>37</v>
      </c>
      <c r="D14" s="17" t="s">
        <v>52</v>
      </c>
      <c r="E14" s="17"/>
      <c r="F14" s="14" t="s">
        <v>50</v>
      </c>
      <c r="G14" s="17" t="s">
        <v>57</v>
      </c>
      <c r="H14" s="17" t="s">
        <v>51</v>
      </c>
      <c r="I14" s="15" t="s">
        <v>40</v>
      </c>
      <c r="J14" s="32"/>
    </row>
    <row r="15" spans="1:10" ht="52.8" x14ac:dyDescent="0.2">
      <c r="A15" s="16"/>
      <c r="B15" s="20">
        <f t="shared" ca="1" si="0"/>
        <v>3</v>
      </c>
      <c r="C15" s="13" t="s">
        <v>37</v>
      </c>
      <c r="D15" s="17" t="s">
        <v>59</v>
      </c>
      <c r="E15" s="17"/>
      <c r="F15" s="14" t="s">
        <v>50</v>
      </c>
      <c r="G15" s="17" t="s">
        <v>60</v>
      </c>
      <c r="H15" s="17" t="s">
        <v>61</v>
      </c>
      <c r="I15" s="15" t="s">
        <v>40</v>
      </c>
      <c r="J15" s="32"/>
    </row>
    <row r="16" spans="1:10" ht="39.6" x14ac:dyDescent="0.2">
      <c r="A16" s="16" t="s">
        <v>53</v>
      </c>
      <c r="B16" s="20">
        <f t="shared" ca="1" si="0"/>
        <v>1</v>
      </c>
      <c r="C16" s="13" t="s">
        <v>54</v>
      </c>
      <c r="D16" s="17" t="s">
        <v>55</v>
      </c>
      <c r="E16" s="17"/>
      <c r="F16" s="14" t="s">
        <v>56</v>
      </c>
      <c r="G16" s="17" t="s">
        <v>57</v>
      </c>
      <c r="H16" s="17" t="s">
        <v>58</v>
      </c>
      <c r="I16" s="15" t="s">
        <v>40</v>
      </c>
      <c r="J16" s="32"/>
    </row>
    <row r="17" spans="1:10" x14ac:dyDescent="0.2">
      <c r="A17" s="16"/>
      <c r="B17" s="20">
        <f t="shared" ca="1" si="0"/>
        <v>2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2">
      <c r="A18" s="16"/>
      <c r="B18" s="20">
        <f t="shared" ca="1" si="0"/>
        <v>3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2">
      <c r="A19" s="16"/>
      <c r="B19" s="20">
        <f t="shared" ca="1" si="0"/>
        <v>4</v>
      </c>
      <c r="C19" s="13"/>
      <c r="D19" s="17"/>
      <c r="E19" s="17"/>
      <c r="F19" s="17"/>
      <c r="G19" s="17"/>
      <c r="H19" s="17"/>
      <c r="I19" s="15"/>
      <c r="J19" s="32"/>
    </row>
    <row r="20" spans="1:10" x14ac:dyDescent="0.2">
      <c r="A20" s="18"/>
      <c r="B20" s="22">
        <f t="shared" ca="1" si="0"/>
        <v>5</v>
      </c>
      <c r="C20" s="13"/>
      <c r="D20" s="17"/>
      <c r="E20" s="17"/>
      <c r="F20" s="17"/>
      <c r="G20" s="17"/>
      <c r="H20" s="17"/>
      <c r="I20" s="15"/>
      <c r="J20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3 A15:B20">
    <cfRule type="expression" dxfId="44" priority="111">
      <formula>A9&lt;&gt;""</formula>
    </cfRule>
  </conditionalFormatting>
  <conditionalFormatting sqref="B9:B13 B15:B20">
    <cfRule type="expression" dxfId="43" priority="39">
      <formula>B9&lt;&gt;""</formula>
    </cfRule>
  </conditionalFormatting>
  <conditionalFormatting sqref="B9">
    <cfRule type="expression" dxfId="42" priority="38">
      <formula>B9&lt;&gt;""</formula>
    </cfRule>
  </conditionalFormatting>
  <conditionalFormatting sqref="B9">
    <cfRule type="expression" dxfId="41" priority="37">
      <formula>B9&lt;&gt;""</formula>
    </cfRule>
  </conditionalFormatting>
  <conditionalFormatting sqref="B9">
    <cfRule type="expression" dxfId="40" priority="36">
      <formula>B9&lt;&gt;""</formula>
    </cfRule>
  </conditionalFormatting>
  <conditionalFormatting sqref="B10">
    <cfRule type="expression" dxfId="39" priority="35">
      <formula>B10&lt;&gt;""</formula>
    </cfRule>
  </conditionalFormatting>
  <conditionalFormatting sqref="B10">
    <cfRule type="expression" dxfId="38" priority="34">
      <formula>B10&lt;&gt;""</formula>
    </cfRule>
  </conditionalFormatting>
  <conditionalFormatting sqref="B10">
    <cfRule type="expression" dxfId="37" priority="33">
      <formula>B10&lt;&gt;""</formula>
    </cfRule>
  </conditionalFormatting>
  <conditionalFormatting sqref="B11">
    <cfRule type="expression" dxfId="36" priority="32">
      <formula>B11&lt;&gt;""</formula>
    </cfRule>
  </conditionalFormatting>
  <conditionalFormatting sqref="B11">
    <cfRule type="expression" dxfId="35" priority="31">
      <formula>B11&lt;&gt;""</formula>
    </cfRule>
  </conditionalFormatting>
  <conditionalFormatting sqref="B11">
    <cfRule type="expression" dxfId="34" priority="30">
      <formula>B11&lt;&gt;""</formula>
    </cfRule>
  </conditionalFormatting>
  <conditionalFormatting sqref="B12">
    <cfRule type="expression" dxfId="33" priority="29">
      <formula>B12&lt;&gt;""</formula>
    </cfRule>
  </conditionalFormatting>
  <conditionalFormatting sqref="B12">
    <cfRule type="expression" dxfId="32" priority="28">
      <formula>B12&lt;&gt;""</formula>
    </cfRule>
  </conditionalFormatting>
  <conditionalFormatting sqref="B12">
    <cfRule type="expression" dxfId="31" priority="27">
      <formula>B12&lt;&gt;""</formula>
    </cfRule>
  </conditionalFormatting>
  <conditionalFormatting sqref="B13">
    <cfRule type="expression" dxfId="30" priority="26">
      <formula>B13&lt;&gt;""</formula>
    </cfRule>
  </conditionalFormatting>
  <conditionalFormatting sqref="B13">
    <cfRule type="expression" dxfId="29" priority="25">
      <formula>B13&lt;&gt;""</formula>
    </cfRule>
  </conditionalFormatting>
  <conditionalFormatting sqref="B13">
    <cfRule type="expression" dxfId="28" priority="24">
      <formula>B13&lt;&gt;""</formula>
    </cfRule>
  </conditionalFormatting>
  <conditionalFormatting sqref="B15">
    <cfRule type="expression" dxfId="27" priority="23">
      <formula>B15&lt;&gt;""</formula>
    </cfRule>
  </conditionalFormatting>
  <conditionalFormatting sqref="B15">
    <cfRule type="expression" dxfId="26" priority="22">
      <formula>B15&lt;&gt;""</formula>
    </cfRule>
  </conditionalFormatting>
  <conditionalFormatting sqref="B15">
    <cfRule type="expression" dxfId="25" priority="21">
      <formula>B15&lt;&gt;""</formula>
    </cfRule>
  </conditionalFormatting>
  <conditionalFormatting sqref="B16">
    <cfRule type="expression" dxfId="24" priority="20">
      <formula>B16&lt;&gt;""</formula>
    </cfRule>
  </conditionalFormatting>
  <conditionalFormatting sqref="B16">
    <cfRule type="expression" dxfId="23" priority="19">
      <formula>B16&lt;&gt;""</formula>
    </cfRule>
  </conditionalFormatting>
  <conditionalFormatting sqref="B16">
    <cfRule type="expression" dxfId="22" priority="18">
      <formula>B16&lt;&gt;""</formula>
    </cfRule>
  </conditionalFormatting>
  <conditionalFormatting sqref="B17">
    <cfRule type="expression" dxfId="21" priority="17">
      <formula>B17&lt;&gt;""</formula>
    </cfRule>
  </conditionalFormatting>
  <conditionalFormatting sqref="B17">
    <cfRule type="expression" dxfId="20" priority="16">
      <formula>B17&lt;&gt;""</formula>
    </cfRule>
  </conditionalFormatting>
  <conditionalFormatting sqref="B17">
    <cfRule type="expression" dxfId="19" priority="15">
      <formula>B17&lt;&gt;""</formula>
    </cfRule>
  </conditionalFormatting>
  <conditionalFormatting sqref="B18">
    <cfRule type="expression" dxfId="18" priority="14">
      <formula>B18&lt;&gt;""</formula>
    </cfRule>
  </conditionalFormatting>
  <conditionalFormatting sqref="B18">
    <cfRule type="expression" dxfId="17" priority="13">
      <formula>B18&lt;&gt;""</formula>
    </cfRule>
  </conditionalFormatting>
  <conditionalFormatting sqref="B18">
    <cfRule type="expression" dxfId="16" priority="12">
      <formula>B18&lt;&gt;""</formula>
    </cfRule>
  </conditionalFormatting>
  <conditionalFormatting sqref="B19">
    <cfRule type="expression" dxfId="15" priority="11">
      <formula>B19&lt;&gt;""</formula>
    </cfRule>
  </conditionalFormatting>
  <conditionalFormatting sqref="B19">
    <cfRule type="expression" dxfId="14" priority="10">
      <formula>B19&lt;&gt;""</formula>
    </cfRule>
  </conditionalFormatting>
  <conditionalFormatting sqref="B19">
    <cfRule type="expression" dxfId="13" priority="9">
      <formula>B19&lt;&gt;""</formula>
    </cfRule>
  </conditionalFormatting>
  <conditionalFormatting sqref="B20">
    <cfRule type="expression" dxfId="12" priority="8">
      <formula>B20&lt;&gt;""</formula>
    </cfRule>
  </conditionalFormatting>
  <conditionalFormatting sqref="B20">
    <cfRule type="expression" dxfId="11" priority="7">
      <formula>B20&lt;&gt;""</formula>
    </cfRule>
  </conditionalFormatting>
  <conditionalFormatting sqref="B20">
    <cfRule type="expression" dxfId="10" priority="6">
      <formula>B20&lt;&gt;""</formula>
    </cfRule>
  </conditionalFormatting>
  <conditionalFormatting sqref="A14:B14">
    <cfRule type="expression" dxfId="9" priority="5">
      <formula>A14&lt;&gt;""</formula>
    </cfRule>
  </conditionalFormatting>
  <conditionalFormatting sqref="B14">
    <cfRule type="expression" dxfId="7" priority="4">
      <formula>B14&lt;&gt;""</formula>
    </cfRule>
  </conditionalFormatting>
  <conditionalFormatting sqref="B14">
    <cfRule type="expression" dxfId="5" priority="3">
      <formula>B14&lt;&gt;""</formula>
    </cfRule>
  </conditionalFormatting>
  <conditionalFormatting sqref="B14">
    <cfRule type="expression" dxfId="3" priority="2">
      <formula>B14&lt;&gt;""</formula>
    </cfRule>
  </conditionalFormatting>
  <conditionalFormatting sqref="B14">
    <cfRule type="expression" dxfId="1" priority="1">
      <formula>B14&lt;&gt;""</formula>
    </cfRule>
  </conditionalFormatting>
  <dataValidations count="2">
    <dataValidation type="list" allowBlank="1" showInputMessage="1" showErrorMessage="1" sqref="I9:I20">
      <formula1>"Selenium:○,Seleniumu:△,Selenium:×,JUnit:○,JUnit:△,Junit:×,手動実行,机上"</formula1>
    </dataValidation>
    <dataValidation type="list" allowBlank="1" showInputMessage="1" showErrorMessage="1" sqref="C9:C20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UPFM01</vt:lpstr>
      <vt:lpstr>UPFM01!Print_Titles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2017-12-06T11:43:56Z</dcterms:modified>
</cp:coreProperties>
</file>