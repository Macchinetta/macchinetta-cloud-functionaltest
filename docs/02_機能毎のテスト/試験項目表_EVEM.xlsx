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7585" windowHeight="9660" activeTab="2"/>
  </bookViews>
  <sheets>
    <sheet name="大中項目" sheetId="1" r:id="rId1"/>
    <sheet name="EVEM01" sheetId="10" r:id="rId2"/>
    <sheet name="EVEM02" sheetId="11" r:id="rId3"/>
    <sheet name="EVEM03" sheetId="12" r:id="rId4"/>
  </sheets>
  <definedNames>
    <definedName name="_xlnm.Print_Titles" localSheetId="1">EVEM01!$1:$8</definedName>
    <definedName name="_xlnm.Print_Titles" localSheetId="2">EVEM02!$1:$8</definedName>
    <definedName name="_xlnm.Print_Titles" localSheetId="3">EVEM03!$1:$8</definedName>
    <definedName name="_xlnm.Print_Titles" localSheetId="0">大中項目!$1:$4</definedName>
  </definedNames>
  <calcPr calcId="145621"/>
</workbook>
</file>

<file path=xl/calcChain.xml><?xml version="1.0" encoding="utf-8"?>
<calcChain xmlns="http://schemas.openxmlformats.org/spreadsheetml/2006/main">
  <c r="B9" i="12" l="1"/>
  <c r="A11" i="11" l="1"/>
  <c r="A9" i="11"/>
  <c r="A11" i="12"/>
  <c r="A9" i="12"/>
  <c r="E2" i="12"/>
  <c r="E2" i="11"/>
  <c r="B11" i="12"/>
  <c r="D3" i="12"/>
  <c r="D2" i="12"/>
  <c r="C2" i="12"/>
  <c r="D3" i="11"/>
  <c r="B11" i="11"/>
  <c r="B9" i="11"/>
  <c r="D2" i="11"/>
  <c r="C2" i="11"/>
  <c r="A7" i="1"/>
  <c r="C7" i="1" s="1"/>
  <c r="A8" i="1"/>
  <c r="C8" i="1" s="1"/>
  <c r="A9" i="1"/>
  <c r="A10" i="1"/>
  <c r="B10" i="11"/>
  <c r="B10" i="12"/>
  <c r="B12" i="11"/>
  <c r="C9" i="1" l="1"/>
  <c r="C10" i="1" s="1"/>
  <c r="D3" i="10" l="1"/>
  <c r="D2" i="10"/>
  <c r="C2" i="10"/>
  <c r="A6" i="1" l="1"/>
  <c r="A5" i="1"/>
  <c r="C5" i="1" l="1"/>
  <c r="A9" i="10" s="1"/>
  <c r="B9" i="10" s="1"/>
  <c r="E2" i="10"/>
  <c r="C6" i="1" l="1"/>
  <c r="A10" i="10" s="1"/>
  <c r="B10" i="10" s="1"/>
</calcChain>
</file>

<file path=xl/sharedStrings.xml><?xml version="1.0" encoding="utf-8"?>
<sst xmlns="http://schemas.openxmlformats.org/spreadsheetml/2006/main" count="125" uniqueCount="67">
  <si>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</si>
  <si>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</si>
  <si>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</si>
  <si>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</si>
  <si>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</si>
  <si>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</si>
  <si>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</si>
  <si>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</si>
  <si>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</si>
  <si>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</si>
  <si>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</si>
  <si>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</si>
  <si>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</si>
  <si>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</si>
  <si>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</si>
  <si>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</si>
  <si>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</si>
  <si>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</si>
  <si>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</si>
  <si>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</si>
  <si>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</si>
  <si>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</si>
  <si>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</si>
  <si>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</si>
  <si>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</si>
  <si>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正常</t>
  </si>
  <si>
    <t>Selenium:○</t>
  </si>
  <si>
    <t>EVEM</t>
    <phoneticPr fontId="2"/>
  </si>
  <si>
    <t>Config Serverから環境依存値を取得できること</t>
    <rPh sb="15" eb="17">
      <t>カンキョウ</t>
    </rPh>
    <rPh sb="17" eb="19">
      <t>イゾン</t>
    </rPh>
    <rPh sb="19" eb="20">
      <t>アタイ</t>
    </rPh>
    <rPh sb="21" eb="23">
      <t>シュトク</t>
    </rPh>
    <phoneticPr fontId="2"/>
  </si>
  <si>
    <t>Git から環境依存値を取得できること</t>
    <rPh sb="5" eb="10">
      <t>カンキョウイゾンチ</t>
    </rPh>
    <rPh sb="11" eb="13">
      <t>シュトク</t>
    </rPh>
    <phoneticPr fontId="2"/>
  </si>
  <si>
    <t>S3 から環境依存値を取得できること</t>
    <rPh sb="4" eb="9">
      <t>カンキョウイゾンチ</t>
    </rPh>
    <rPh sb="10" eb="12">
      <t>シュトク</t>
    </rPh>
    <phoneticPr fontId="2"/>
  </si>
  <si>
    <t>Git から環境依存値を取得し、画面に表示できること</t>
    <rPh sb="6" eb="11">
      <t>カンキョウイゾンチ</t>
    </rPh>
    <rPh sb="12" eb="14">
      <t>シュトク</t>
    </rPh>
    <rPh sb="16" eb="18">
      <t>ガメン</t>
    </rPh>
    <rPh sb="19" eb="21">
      <t>ヒョウジ</t>
    </rPh>
    <phoneticPr fontId="2"/>
  </si>
  <si>
    <t>S3 から環境依存値を取得し、画面に表示できること</t>
    <rPh sb="5" eb="10">
      <t>カンキョウイゾンチ</t>
    </rPh>
    <rPh sb="11" eb="13">
      <t>シュトク</t>
    </rPh>
    <rPh sb="15" eb="17">
      <t>ガメン</t>
    </rPh>
    <rPh sb="18" eb="20">
      <t>ヒョウジ</t>
    </rPh>
    <phoneticPr fontId="2"/>
  </si>
  <si>
    <t xml:space="preserve">Config Serverで設定したGit Server上にプロパティファイルが有ること
</t>
    <rPh sb="14" eb="16">
      <t>セッテイ</t>
    </rPh>
    <rPh sb="28" eb="29">
      <t>ジョウ</t>
    </rPh>
    <rPh sb="40" eb="41">
      <t>ア</t>
    </rPh>
    <phoneticPr fontId="2"/>
  </si>
  <si>
    <t xml:space="preserve">Config Serverで設定したS3上にプロパティファイルが有ること
</t>
    <rPh sb="14" eb="16">
      <t>セッテイ</t>
    </rPh>
    <rPh sb="20" eb="21">
      <t>ジョウ</t>
    </rPh>
    <rPh sb="32" eb="33">
      <t>ア</t>
    </rPh>
    <phoneticPr fontId="2"/>
  </si>
  <si>
    <t>画面にConfig Serverから取得した、S3の情報が表示されていること</t>
    <rPh sb="0" eb="2">
      <t>ガメン</t>
    </rPh>
    <rPh sb="18" eb="20">
      <t>シュトク</t>
    </rPh>
    <rPh sb="26" eb="28">
      <t>ジョウホウ</t>
    </rPh>
    <rPh sb="29" eb="31">
      <t>ヒョウジ</t>
    </rPh>
    <phoneticPr fontId="2"/>
  </si>
  <si>
    <t>画面にConfig Serverから取得した、Postgresへの接続情報が表示されていること</t>
    <rPh sb="0" eb="2">
      <t>ガメン</t>
    </rPh>
    <rPh sb="18" eb="20">
      <t>シュトク</t>
    </rPh>
    <rPh sb="33" eb="35">
      <t>セツゾク</t>
    </rPh>
    <rPh sb="35" eb="37">
      <t>ジョウホウ</t>
    </rPh>
    <rPh sb="38" eb="40">
      <t>ヒョウジ</t>
    </rPh>
    <phoneticPr fontId="2"/>
  </si>
  <si>
    <t>環境依存値の外部管理</t>
    <rPh sb="0" eb="5">
      <t>カンキョウイゾンチ</t>
    </rPh>
    <rPh sb="6" eb="10">
      <t>ガイブカンリ</t>
    </rPh>
    <phoneticPr fontId="2"/>
  </si>
  <si>
    <t>Spring Proｆileによってログ設定の切り替えができること</t>
    <rPh sb="20" eb="22">
      <t>セッテイ</t>
    </rPh>
    <rPh sb="23" eb="24">
      <t>キ</t>
    </rPh>
    <rPh sb="25" eb="26">
      <t>カ</t>
    </rPh>
    <phoneticPr fontId="2"/>
  </si>
  <si>
    <t>springProfileによってLogback設定ファイルの一部の設定を切り替えできること</t>
    <rPh sb="31" eb="33">
      <t>イチブ</t>
    </rPh>
    <rPh sb="34" eb="36">
      <t>セッテイ</t>
    </rPh>
    <rPh sb="37" eb="38">
      <t>キ</t>
    </rPh>
    <rPh sb="39" eb="40">
      <t>カ</t>
    </rPh>
    <phoneticPr fontId="2"/>
  </si>
  <si>
    <t>springProfileによってLogback設定ファイルを全体を切り替えできること</t>
    <rPh sb="31" eb="33">
      <t>ゼンタイ</t>
    </rPh>
    <rPh sb="34" eb="35">
      <t>キ</t>
    </rPh>
    <rPh sb="36" eb="37">
      <t>カ</t>
    </rPh>
    <phoneticPr fontId="2"/>
  </si>
  <si>
    <t>spring.cloud.config.fail-fastの設定を反映できること</t>
    <rPh sb="30" eb="32">
      <t>セッテイ</t>
    </rPh>
    <rPh sb="33" eb="35">
      <t>ハンエイ</t>
    </rPh>
    <phoneticPr fontId="2"/>
  </si>
  <si>
    <t>spring.cloud.config.enabledの設定を反映できること</t>
    <rPh sb="28" eb="30">
      <t>セッテイ</t>
    </rPh>
    <rPh sb="31" eb="33">
      <t>ハンエイ</t>
    </rPh>
    <phoneticPr fontId="2"/>
  </si>
  <si>
    <t>spring.cloud.config の設定値を反映できること</t>
    <rPh sb="21" eb="24">
      <t>セッテイチ</t>
    </rPh>
    <rPh sb="25" eb="27">
      <t>ハンエイ</t>
    </rPh>
    <phoneticPr fontId="2"/>
  </si>
  <si>
    <t>手動実行</t>
  </si>
  <si>
    <t>spring.cloud.config.enabledの設定がfalseの時、クライアントAPがConfig Server無しで起動できること</t>
    <rPh sb="37" eb="38">
      <t>トキ</t>
    </rPh>
    <rPh sb="64" eb="66">
      <t>キドウ</t>
    </rPh>
    <phoneticPr fontId="2"/>
  </si>
  <si>
    <t>springProfileによってLogback設定ファイルの一部の設定を切り替え、info以上のログが出力されていること。</t>
    <rPh sb="46" eb="48">
      <t>イジョウ</t>
    </rPh>
    <rPh sb="52" eb="54">
      <t>シュツリョク</t>
    </rPh>
    <phoneticPr fontId="2"/>
  </si>
  <si>
    <t>springProfileによってLogback設定ファイルの一部の設定を切り替え、warn以上のログが出力されていること。</t>
    <rPh sb="46" eb="48">
      <t>イジョウ</t>
    </rPh>
    <rPh sb="52" eb="54">
      <t>シュツリョク</t>
    </rPh>
    <phoneticPr fontId="2"/>
  </si>
  <si>
    <t>springProfileによってLogback設定ファイルを全体を切り替え、info以上のログが出力されていること。</t>
    <phoneticPr fontId="2"/>
  </si>
  <si>
    <t>springProfileによってLogback設定ファイルを全体を切り替え、warn以上のログが出力されていること。</t>
    <phoneticPr fontId="2"/>
  </si>
  <si>
    <t>以下のログが出力されていること
・「level:WARN      logger:jp.co.ntt.cloud.functionaltest.app.OutputLog     message
:this is logging filter! WARN logging!」
以下のログが出力されていないこと
・「level:INFO      logger:j.c.n.cloud.functionaltest.config.LoggingFilter  message
:this is logging filter! INFO logging!」</t>
    <rPh sb="0" eb="2">
      <t>イカ</t>
    </rPh>
    <rPh sb="6" eb="8">
      <t>シュツリョク</t>
    </rPh>
    <rPh sb="138" eb="140">
      <t>イカ</t>
    </rPh>
    <rPh sb="144" eb="146">
      <t>シュツリョク</t>
    </rPh>
    <phoneticPr fontId="2"/>
  </si>
  <si>
    <t>画面にクライアントAP内のプロパティファイルから取得した、S3の情報が表示されていること</t>
    <rPh sb="0" eb="2">
      <t>ガメン</t>
    </rPh>
    <rPh sb="11" eb="12">
      <t>ナイ</t>
    </rPh>
    <rPh sb="24" eb="26">
      <t>シュトク</t>
    </rPh>
    <rPh sb="32" eb="34">
      <t>ジョウホウ</t>
    </rPh>
    <rPh sb="35" eb="37">
      <t>ヒョウジ</t>
    </rPh>
    <phoneticPr fontId="2"/>
  </si>
  <si>
    <t>spring.cloud.config.fail-fastの設定がfalseの時、クライアントAPがConfig Server無しで起動できること</t>
    <rPh sb="39" eb="40">
      <t>トキ</t>
    </rPh>
    <rPh sb="63" eb="64">
      <t>ナ</t>
    </rPh>
    <rPh sb="66" eb="68">
      <t>キドウ</t>
    </rPh>
    <phoneticPr fontId="2"/>
  </si>
  <si>
    <t xml:space="preserve">クライアントAP内にプロパティファイルが存在すること
</t>
    <rPh sb="8" eb="9">
      <t>ナイ</t>
    </rPh>
    <rPh sb="20" eb="22">
      <t>ソンザイ</t>
    </rPh>
    <phoneticPr fontId="2"/>
  </si>
  <si>
    <t>サーバーエラー</t>
  </si>
  <si>
    <t>spring.cloud.config.fail-fastの設定がtrueの時、クライアントAPが起動に失敗すること。</t>
    <rPh sb="38" eb="39">
      <t>トキ</t>
    </rPh>
    <rPh sb="49" eb="51">
      <t>キドウ</t>
    </rPh>
    <rPh sb="52" eb="54">
      <t>シッパイ</t>
    </rPh>
    <phoneticPr fontId="2"/>
  </si>
  <si>
    <t>クライアントAPが起動に失敗していること</t>
    <rPh sb="9" eb="11">
      <t>キドウ</t>
    </rPh>
    <rPh sb="12" eb="14">
      <t>シッパイ</t>
    </rPh>
    <phoneticPr fontId="2"/>
  </si>
  <si>
    <t xml:space="preserve">以下のログが出力されていること
・「level:WARN      logger:jp.co.ntt.cloud.functionaltest.app.OutputLog     message
:this is logging filter! WARN logging!」
・「level:INFO      logger:j.c.n.cloud.functionaltest.config.LoggingFilter  message
:this is logging filter! INFO logging!」
</t>
    <rPh sb="0" eb="2">
      <t>イカ</t>
    </rPh>
    <rPh sb="6" eb="8">
      <t>シュツリョク</t>
    </rPh>
    <phoneticPr fontId="2"/>
  </si>
  <si>
    <t xml:space="preserve">以下のログが出力されていること
・「level:WARN      logger:jp.co.ntt.cloud.functionaltest.app.OutputLog     message
:this is logging filter! WARN logging!」
・「level:INFO      logger:j.c.n.cloud.functionaltest.config.LoggingFilter  message
:this is logging filter! INFO logging!」
</t>
    <rPh sb="0" eb="2">
      <t>イカ</t>
    </rPh>
    <rPh sb="6" eb="8">
      <t>シュツリョク</t>
    </rPh>
    <phoneticPr fontId="2"/>
  </si>
  <si>
    <t xml:space="preserve">1.「macchinetta-cloud-functionaltest」の「evem-config-log-part」フォルダで、コンソールで「mvn spring-boot:run -P loginfo」コマンドを叩く。
2.APが起動したら、「http://localhost:8888/」にアクセスする。
</t>
    <rPh sb="108" eb="109">
      <t>タタ</t>
    </rPh>
    <rPh sb="117" eb="119">
      <t>キドウ</t>
    </rPh>
    <phoneticPr fontId="2"/>
  </si>
  <si>
    <t xml:space="preserve">1.「macchinetta-cloud-functionaltest」の「evem-config-log-part」フォルダで、コンソールで「mvn spring-boot:run -P logwarn」コマンドを叩く。
2.APが起動したら、「http://localhost:8888/」にアクセスする。
</t>
    <rPh sb="108" eb="109">
      <t>タタ</t>
    </rPh>
    <rPh sb="117" eb="119">
      <t>キドウ</t>
    </rPh>
    <phoneticPr fontId="2"/>
  </si>
  <si>
    <t xml:space="preserve">1.「macchinetta-cloud-functionaltest」の「evem-config-log-overall」フォルダで、コンソールで「mvn spring-boot:run -P logwarn」コマンドを叩く。
2.APが起動したら、「http://localhost:8888/」にアクセスする。
</t>
    <rPh sb="111" eb="112">
      <t>タタ</t>
    </rPh>
    <rPh sb="120" eb="122">
      <t>キドウ</t>
    </rPh>
    <phoneticPr fontId="2"/>
  </si>
  <si>
    <t>・クライアントAP内にプロパティファイルが存在すること
・クライアントAPがConfig Serverと通信できない状態にすること
・spring.cloud.enabledが true であること</t>
    <phoneticPr fontId="2"/>
  </si>
  <si>
    <t>・クライアントAP内にプロパティファイルが存在すること
・クライアントAPがConfig Serverと通信できない状態にすること
・spring.cloud.enabledが true であること</t>
    <rPh sb="9" eb="10">
      <t>ナイ</t>
    </rPh>
    <rPh sb="21" eb="23">
      <t>ソンザイ</t>
    </rPh>
    <rPh sb="52" eb="54">
      <t>ツウシン</t>
    </rPh>
    <rPh sb="58" eb="60">
      <t>ジョウタイ</t>
    </rPh>
    <phoneticPr fontId="2"/>
  </si>
  <si>
    <t>「macchinetta-cloud-functionaltest\evem-failfast-true-boot-fail」にて「mvn clean install」コマンドを実行する。</t>
    <rPh sb="89" eb="91">
      <t>ジッコウ</t>
    </rPh>
    <phoneticPr fontId="2"/>
  </si>
  <si>
    <t>・ガイドライン の「3.8. 環境依存値の外部管理」の外部管理の「環境依存値の利用方法」まで実装していること。
・logback-spring.xmlをクラスパス直下に配置すること。
・logback-spring.xmlファイルのなかで、springProfileによってログ設定を切り替えていること。</t>
    <rPh sb="46" eb="48">
      <t>ジッソウ</t>
    </rPh>
    <rPh sb="81" eb="83">
      <t>チョッカ</t>
    </rPh>
    <rPh sb="84" eb="86">
      <t>ハイチ</t>
    </rPh>
    <rPh sb="139" eb="141">
      <t>セッテイ</t>
    </rPh>
    <rPh sb="142" eb="143">
      <t>キ</t>
    </rPh>
    <rPh sb="144" eb="145">
      <t>カ</t>
    </rPh>
    <phoneticPr fontId="2"/>
  </si>
  <si>
    <t>・ガイドライン の「3.8. 環境依存値の外部管理」の「環境依存値の利用方法」まで実装していること。
・logback-spring.xml,logback-development-logger.xml,logback-production-logger.xmlをクラスパス直下に配置すること。
・logback-spring.xmlファイルのなかで、springProfileのincludeを使用してログ設定のファイル全体を切り替えていること。</t>
    <rPh sb="137" eb="139">
      <t>チョッカ</t>
    </rPh>
    <rPh sb="140" eb="142">
      <t>ハイチ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</si>
</sst>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10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333333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0" fontId="6" fillId="0" borderId="1" xfId="2" applyNumberFormat="1" applyBorder="1" applyAlignment="1">
      <alignment horizontal="center" vertical="center"/>
    </xf>
    <xf numFmtId="0" fontId="6" fillId="4" borderId="1" xfId="2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3" xfId="2" applyNumberFormat="1" applyFill="1" applyBorder="1" applyAlignment="1">
      <alignment horizontal="center" vertical="top" wrapText="1"/>
    </xf>
    <xf numFmtId="176" fontId="6" fillId="4" borderId="2" xfId="2" applyNumberFormat="1" applyFill="1" applyBorder="1" applyAlignment="1">
      <alignment horizontal="center" vertical="top" wrapText="1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1" xfId="0" quotePrefix="1" applyBorder="1" applyAlignment="1">
      <alignment horizontal="left" vertical="top" wrapText="1"/>
    </xf>
    <xf numFmtId="0" fontId="0" fillId="4" borderId="2" xfId="0" applyFill="1" applyBorder="1" applyAlignment="1">
      <alignment horizontal="center" vertical="top"/>
    </xf>
    <xf numFmtId="0" fontId="0" fillId="4" borderId="12" xfId="0" applyFill="1" applyBorder="1" applyAlignment="1">
      <alignment horizontal="center" vertical="top"/>
    </xf>
    <xf numFmtId="0" fontId="0" fillId="0" borderId="3" xfId="0" applyBorder="1">
      <alignment vertical="center"/>
    </xf>
    <xf numFmtId="0" fontId="9" fillId="0" borderId="0" xfId="0" applyFont="1">
      <alignment vertical="center"/>
    </xf>
    <xf numFmtId="176" fontId="6" fillId="0" borderId="12" xfId="2" applyNumberFormat="1" applyBorder="1" applyAlignment="1">
      <alignment horizontal="center" vertical="top" wrapText="1"/>
    </xf>
    <xf numFmtId="0" fontId="0" fillId="0" borderId="7" xfId="0" applyBorder="1">
      <alignment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5" fillId="4" borderId="4" xfId="1" applyFill="1" applyBorder="1" applyAlignment="1" applyProtection="1">
      <alignment horizontal="center" vertical="center"/>
    </xf>
    <xf numFmtId="0" fontId="5" fillId="4" borderId="8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3" xfId="2" applyFill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49" fontId="6" fillId="0" borderId="5" xfId="2" applyNumberFormat="1" applyBorder="1" applyAlignment="1">
      <alignment horizontal="left" vertical="top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25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zoomScale="80" zoomScaleNormal="80" workbookViewId="0">
      <pane ySplit="4" topLeftCell="A5" activePane="bottomLeft" state="frozen"/>
      <selection pane="bottomLeft" activeCell="D10" sqref="D10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27</v>
      </c>
      <c r="C1" s="13" t="s">
        <v>24</v>
      </c>
    </row>
    <row r="2" spans="1:4" x14ac:dyDescent="0.15">
      <c r="A2" s="3" t="s">
        <v>1</v>
      </c>
      <c r="B2" s="2" t="s">
        <v>37</v>
      </c>
      <c r="C2" s="2"/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15">
      <c r="A5" s="25" t="str">
        <f>IF(B5="","",($B$1&amp;TEXT(IF(B5="","",COUNTA($B$5:B5)),"00")))</f>
        <v>EVEM01</v>
      </c>
      <c r="B5" s="23" t="s">
        <v>28</v>
      </c>
      <c r="C5" s="27" t="str">
        <f>IF(B5="",($B$1&amp;TEXT(IF(B5="",COUNTA($B$5:B5),1),"00")),A5)&amp;IF(B5&lt;&gt;"",TEXT(1,"00"),TEXT(IF(A5&lt;&gt;"",1,RIGHT(C4,2)+1),"00"))</f>
        <v>EVEM0101</v>
      </c>
      <c r="D5" s="28" t="s">
        <v>29</v>
      </c>
    </row>
    <row r="6" spans="1:4" x14ac:dyDescent="0.15">
      <c r="A6" s="26" t="str">
        <f>IF(B6="","",($B$1&amp;TEXT(IF(B6="","",COUNTA($B$5:B6)),"00")))</f>
        <v/>
      </c>
      <c r="B6" s="24"/>
      <c r="C6" s="27" t="str">
        <f>IF(B6="",($B$1&amp;TEXT(IF(B6="",COUNTA($B$5:B6),1),"00")),A6)&amp;IF(B6&lt;&gt;"",TEXT(1,"00"),TEXT(IF(A6&lt;&gt;"",1,RIGHT(C5,2)+1),"00"))</f>
        <v>EVEM0102</v>
      </c>
      <c r="D6" s="28" t="s">
        <v>30</v>
      </c>
    </row>
    <row r="7" spans="1:4" x14ac:dyDescent="0.15">
      <c r="A7" s="29" t="str">
        <f>IF(B7="","",($B$1&amp;TEXT(IF(B7="","",COUNTA($B$5:B7)),"00")))</f>
        <v>EVEM02</v>
      </c>
      <c r="B7" t="s">
        <v>38</v>
      </c>
      <c r="C7" s="27" t="str">
        <f>IF(B7="",($B$1&amp;TEXT(IF(B7="",COUNTA($B$5:B7),1),"00")),A7)&amp;IF(B7&lt;&gt;"",TEXT(1,"00"),TEXT(IF(A7&lt;&gt;"",1,RIGHT(C6,2)+1),"00"))</f>
        <v>EVEM0201</v>
      </c>
      <c r="D7" s="2" t="s">
        <v>39</v>
      </c>
    </row>
    <row r="8" spans="1:4" x14ac:dyDescent="0.15">
      <c r="A8" s="30" t="str">
        <f>IF(B8="","",($B$1&amp;TEXT(IF(B8="","",COUNTA($B$5:B8)),"00")))</f>
        <v/>
      </c>
      <c r="B8" s="31"/>
      <c r="C8" s="27" t="str">
        <f>IF(B8="",($B$1&amp;TEXT(IF(B8="",COUNTA($B$5:B8),1),"00")),A8)&amp;IF(B8&lt;&gt;"",TEXT(1,"00"),TEXT(IF(A8&lt;&gt;"",1,RIGHT(C7,2)+1),"00"))</f>
        <v>EVEM0202</v>
      </c>
      <c r="D8" s="2" t="s">
        <v>40</v>
      </c>
    </row>
    <row r="9" spans="1:4" x14ac:dyDescent="0.15">
      <c r="A9" s="30" t="str">
        <f>IF(B9="","",($B$1&amp;TEXT(IF(B9="","",COUNTA($B$5:B9)),"00")))</f>
        <v>EVEM03</v>
      </c>
      <c r="B9" s="32" t="s">
        <v>43</v>
      </c>
      <c r="C9" s="27" t="str">
        <f>IF(B9="",($B$1&amp;TEXT(IF(B9="",COUNTA($B$5:B9),1),"00")),A9)&amp;IF(B9&lt;&gt;"",TEXT(1,"00"),TEXT(IF(A9&lt;&gt;"",1,RIGHT(C8,2)+1),"00"))</f>
        <v>EVEM0301</v>
      </c>
      <c r="D9" s="2" t="s">
        <v>41</v>
      </c>
    </row>
    <row r="10" spans="1:4" x14ac:dyDescent="0.15">
      <c r="A10" s="26" t="str">
        <f>IF(B10="","",($B$1&amp;TEXT(IF(B10="","",COUNTA($B$5:B10)),"00")))</f>
        <v/>
      </c>
      <c r="B10" s="31"/>
      <c r="C10" s="27" t="str">
        <f>IF(B10="",($B$1&amp;TEXT(IF(B10="",COUNTA($B$5:B10),1),"00")),A10)&amp;IF(B10&lt;&gt;"",TEXT(1,"00"),TEXT(IF(A10&lt;&gt;"",1,RIGHT(C9,2)+1),"00"))</f>
        <v>EVEM0302</v>
      </c>
      <c r="D10" s="2" t="s">
        <v>42</v>
      </c>
    </row>
  </sheetData>
  <phoneticPr fontId="2"/>
  <conditionalFormatting sqref="B5">
    <cfRule type="expression" dxfId="24" priority="16">
      <formula>B5&lt;&gt;""</formula>
    </cfRule>
  </conditionalFormatting>
  <conditionalFormatting sqref="B6">
    <cfRule type="expression" dxfId="23" priority="15">
      <formula>B6&lt;&gt;""</formula>
    </cfRule>
  </conditionalFormatting>
  <conditionalFormatting sqref="A5">
    <cfRule type="expression" dxfId="22" priority="11">
      <formula>A5&lt;&gt;""</formula>
    </cfRule>
  </conditionalFormatting>
  <conditionalFormatting sqref="A6:A10">
    <cfRule type="expression" dxfId="21" priority="7">
      <formula>A6&lt;&gt;""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zoomScale="70" zoomScaleNormal="70" workbookViewId="0">
      <pane ySplit="8" topLeftCell="A9" activePane="bottomLeft" state="frozen"/>
      <selection pane="bottomLeft" activeCell="F20" sqref="F20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5" t="s">
        <v>6</v>
      </c>
      <c r="B1" s="36"/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</row>
    <row r="2" spans="1:10" x14ac:dyDescent="0.15">
      <c r="A2" s="37" t="s">
        <v>20</v>
      </c>
      <c r="B2" s="38"/>
      <c r="C2" s="41">
        <f>COUNTA($D$9:$D$65466)</f>
        <v>2</v>
      </c>
      <c r="D2" s="12" t="str">
        <f>大中項目!B1</f>
        <v>EVEM</v>
      </c>
      <c r="E2" s="11" t="str">
        <f>大中項目!A5</f>
        <v>EVEM01</v>
      </c>
      <c r="F2" s="8"/>
      <c r="G2" s="8"/>
      <c r="H2" s="7"/>
    </row>
    <row r="3" spans="1:10" x14ac:dyDescent="0.15">
      <c r="A3" s="39"/>
      <c r="B3" s="40"/>
      <c r="C3" s="42"/>
      <c r="D3" s="12" t="str">
        <f>大中項目!B2</f>
        <v>環境依存値の外部管理</v>
      </c>
      <c r="E3" s="11"/>
      <c r="F3" s="8"/>
      <c r="G3" s="8"/>
      <c r="H3" s="8"/>
    </row>
    <row r="4" spans="1:10" x14ac:dyDescent="0.15">
      <c r="A4" s="9"/>
      <c r="B4" s="9"/>
      <c r="C4" s="9"/>
      <c r="D4" s="9"/>
      <c r="E4" s="9"/>
      <c r="F4" s="9"/>
      <c r="G4" s="9"/>
      <c r="H4" s="9"/>
      <c r="I4" s="9"/>
    </row>
    <row r="5" spans="1:10" x14ac:dyDescent="0.15">
      <c r="A5" s="43" t="s">
        <v>13</v>
      </c>
      <c r="B5" s="44"/>
      <c r="C5" s="44"/>
      <c r="D5" s="44"/>
      <c r="E5" s="44"/>
      <c r="F5" s="44"/>
      <c r="G5" s="44"/>
      <c r="H5" s="44"/>
      <c r="I5" s="45"/>
    </row>
    <row r="6" spans="1:10" ht="42" customHeight="1" x14ac:dyDescent="0.15">
      <c r="A6" s="46" t="s">
        <v>14</v>
      </c>
      <c r="B6" s="47"/>
      <c r="C6" s="47"/>
      <c r="D6" s="47"/>
      <c r="E6" s="47"/>
      <c r="F6" s="47"/>
      <c r="G6" s="47"/>
      <c r="H6" s="47"/>
      <c r="I6" s="48"/>
    </row>
    <row r="7" spans="1:10" x14ac:dyDescent="0.15">
      <c r="A7" s="10"/>
      <c r="B7" s="10"/>
      <c r="C7" s="10"/>
      <c r="D7" s="10"/>
      <c r="E7" s="10"/>
      <c r="F7" s="10"/>
      <c r="G7" s="10"/>
      <c r="H7" s="10"/>
      <c r="I7" s="10"/>
    </row>
    <row r="8" spans="1:10" ht="27" x14ac:dyDescent="0.15">
      <c r="A8" s="5" t="s">
        <v>4</v>
      </c>
      <c r="B8" s="6" t="s">
        <v>21</v>
      </c>
      <c r="C8" s="5" t="s">
        <v>15</v>
      </c>
      <c r="D8" s="5" t="s">
        <v>16</v>
      </c>
      <c r="E8" s="5" t="s">
        <v>17</v>
      </c>
      <c r="F8" s="6" t="s">
        <v>22</v>
      </c>
      <c r="G8" s="6" t="s">
        <v>23</v>
      </c>
      <c r="H8" s="5" t="s">
        <v>18</v>
      </c>
      <c r="I8" s="5" t="s">
        <v>19</v>
      </c>
    </row>
    <row r="9" spans="1:10" ht="53.25" customHeight="1" x14ac:dyDescent="0.15">
      <c r="A9" s="15" t="str">
        <f>大中項目!C5</f>
        <v>EVEM0101</v>
      </c>
      <c r="B9" s="21">
        <f t="shared" ref="B9:B10" ca="1" si="0">IF(A9&lt;&gt;"",1,INDIRECT(ADDRESS(ROW(B9)-1,COLUMN(B9),4))+1)</f>
        <v>1</v>
      </c>
      <c r="C9" s="16" t="s">
        <v>25</v>
      </c>
      <c r="D9" s="17" t="s">
        <v>31</v>
      </c>
      <c r="E9" s="17" t="s">
        <v>33</v>
      </c>
      <c r="F9" s="17"/>
      <c r="G9" s="17"/>
      <c r="H9" s="17" t="s">
        <v>36</v>
      </c>
      <c r="I9" s="18" t="s">
        <v>26</v>
      </c>
      <c r="J9" s="14"/>
    </row>
    <row r="10" spans="1:10" ht="57.75" customHeight="1" x14ac:dyDescent="0.15">
      <c r="A10" s="20" t="str">
        <f>大中項目!C6</f>
        <v>EVEM0102</v>
      </c>
      <c r="B10" s="22">
        <f t="shared" ca="1" si="0"/>
        <v>1</v>
      </c>
      <c r="C10" s="16" t="s">
        <v>25</v>
      </c>
      <c r="D10" s="17" t="s">
        <v>32</v>
      </c>
      <c r="E10" s="17" t="s">
        <v>34</v>
      </c>
      <c r="F10" s="19"/>
      <c r="G10" s="19"/>
      <c r="H10" s="17" t="s">
        <v>35</v>
      </c>
      <c r="I10" s="18" t="s">
        <v>26</v>
      </c>
      <c r="J10" s="14"/>
    </row>
  </sheetData>
  <mergeCells count="5">
    <mergeCell ref="A1:B1"/>
    <mergeCell ref="A2:B3"/>
    <mergeCell ref="C2:C3"/>
    <mergeCell ref="A5:I5"/>
    <mergeCell ref="A6:I6"/>
  </mergeCells>
  <phoneticPr fontId="2"/>
  <conditionalFormatting sqref="A10:B10 B9:B10">
    <cfRule type="expression" dxfId="20" priority="35">
      <formula>A9&lt;&gt;""</formula>
    </cfRule>
  </conditionalFormatting>
  <conditionalFormatting sqref="B9">
    <cfRule type="expression" dxfId="19" priority="33">
      <formula>B9&lt;&gt;""</formula>
    </cfRule>
  </conditionalFormatting>
  <conditionalFormatting sqref="B9">
    <cfRule type="expression" dxfId="18" priority="32">
      <formula>B9&lt;&gt;""</formula>
    </cfRule>
  </conditionalFormatting>
  <conditionalFormatting sqref="B9">
    <cfRule type="expression" dxfId="17" priority="31">
      <formula>B9&lt;&gt;""</formula>
    </cfRule>
  </conditionalFormatting>
  <conditionalFormatting sqref="B10">
    <cfRule type="expression" dxfId="16" priority="30">
      <formula>B10&lt;&gt;""</formula>
    </cfRule>
  </conditionalFormatting>
  <conditionalFormatting sqref="B10">
    <cfRule type="expression" dxfId="15" priority="29">
      <formula>B10&lt;&gt;""</formula>
    </cfRule>
  </conditionalFormatting>
  <conditionalFormatting sqref="B10">
    <cfRule type="expression" dxfId="14" priority="28">
      <formula>B10&lt;&gt;""</formula>
    </cfRule>
  </conditionalFormatting>
  <dataValidations count="2">
    <dataValidation type="list" allowBlank="1" showInputMessage="1" showErrorMessage="1" sqref="C9:C10">
      <formula1>"正常,クライアントエラー,サーバーエラー"</formula1>
    </dataValidation>
    <dataValidation type="list" allowBlank="1" showInputMessage="1" showErrorMessage="1" sqref="I9:I10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tabSelected="1" zoomScale="70" zoomScaleNormal="70" workbookViewId="0">
      <pane ySplit="8" topLeftCell="A9" activePane="bottomLeft" state="frozen"/>
      <selection pane="bottomLeft" activeCell="E7" sqref="E7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5" t="s">
        <v>6</v>
      </c>
      <c r="B1" s="36"/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</row>
    <row r="2" spans="1:10" x14ac:dyDescent="0.15">
      <c r="A2" s="37" t="s">
        <v>20</v>
      </c>
      <c r="B2" s="38"/>
      <c r="C2" s="41">
        <f>COUNTA($D$9:$D$65467)</f>
        <v>4</v>
      </c>
      <c r="D2" s="12" t="str">
        <f>大中項目!B1</f>
        <v>EVEM</v>
      </c>
      <c r="E2" s="11" t="str">
        <f>大中項目!A7</f>
        <v>EVEM02</v>
      </c>
      <c r="F2" s="8"/>
      <c r="G2" s="8"/>
      <c r="H2" s="7"/>
    </row>
    <row r="3" spans="1:10" x14ac:dyDescent="0.15">
      <c r="A3" s="39"/>
      <c r="B3" s="40"/>
      <c r="C3" s="42"/>
      <c r="D3" s="12" t="str">
        <f>大中項目!B2</f>
        <v>環境依存値の外部管理</v>
      </c>
      <c r="E3" s="11"/>
      <c r="F3" s="8"/>
      <c r="G3" s="8"/>
      <c r="H3" s="8"/>
    </row>
    <row r="4" spans="1:10" x14ac:dyDescent="0.15">
      <c r="A4" s="9"/>
      <c r="B4" s="9"/>
      <c r="C4" s="9"/>
      <c r="D4" s="9"/>
      <c r="E4" s="9"/>
      <c r="F4" s="9"/>
      <c r="G4" s="9"/>
      <c r="H4" s="9"/>
      <c r="I4" s="9"/>
    </row>
    <row r="5" spans="1:10" x14ac:dyDescent="0.15">
      <c r="A5" s="43" t="s">
        <v>13</v>
      </c>
      <c r="B5" s="44"/>
      <c r="C5" s="44"/>
      <c r="D5" s="44"/>
      <c r="E5" s="44"/>
      <c r="F5" s="44"/>
      <c r="G5" s="44"/>
      <c r="H5" s="44"/>
      <c r="I5" s="45"/>
    </row>
    <row r="6" spans="1:10" ht="42" customHeight="1" x14ac:dyDescent="0.15">
      <c r="A6" s="46" t="s">
        <v>14</v>
      </c>
      <c r="B6" s="47"/>
      <c r="C6" s="47"/>
      <c r="D6" s="47"/>
      <c r="E6" s="47"/>
      <c r="F6" s="47"/>
      <c r="G6" s="47"/>
      <c r="H6" s="47"/>
      <c r="I6" s="48"/>
    </row>
    <row r="7" spans="1:10" x14ac:dyDescent="0.15">
      <c r="A7" s="10"/>
      <c r="B7" s="10"/>
      <c r="C7" s="10"/>
      <c r="D7" s="10"/>
      <c r="E7" s="10"/>
      <c r="F7" s="10"/>
      <c r="G7" s="10"/>
      <c r="H7" s="10"/>
      <c r="I7" s="10"/>
    </row>
    <row r="8" spans="1:10" ht="27" x14ac:dyDescent="0.15">
      <c r="A8" s="5" t="s">
        <v>4</v>
      </c>
      <c r="B8" s="6" t="s">
        <v>21</v>
      </c>
      <c r="C8" s="5" t="s">
        <v>15</v>
      </c>
      <c r="D8" s="5" t="s">
        <v>16</v>
      </c>
      <c r="E8" s="5" t="s">
        <v>17</v>
      </c>
      <c r="F8" s="6" t="s">
        <v>22</v>
      </c>
      <c r="G8" s="6" t="s">
        <v>23</v>
      </c>
      <c r="H8" s="5" t="s">
        <v>18</v>
      </c>
      <c r="I8" s="5" t="s">
        <v>19</v>
      </c>
    </row>
    <row r="9" spans="1:10" ht="177.75" customHeight="1" x14ac:dyDescent="0.15">
      <c r="A9" s="15" t="str">
        <f>大中項目!C7</f>
        <v>EVEM0201</v>
      </c>
      <c r="B9" s="21">
        <f t="shared" ref="B9:B12" ca="1" si="0">IF(A9&lt;&gt;"",1,INDIRECT(ADDRESS(ROW(B9)-1,COLUMN(B9),4))+1)</f>
        <v>1</v>
      </c>
      <c r="C9" s="16" t="s">
        <v>25</v>
      </c>
      <c r="D9" s="17" t="s">
        <v>46</v>
      </c>
      <c r="E9" s="17" t="s">
        <v>65</v>
      </c>
      <c r="F9" s="17"/>
      <c r="G9" s="17" t="s">
        <v>59</v>
      </c>
      <c r="H9" s="17" t="s">
        <v>58</v>
      </c>
      <c r="I9" s="18" t="s">
        <v>44</v>
      </c>
      <c r="J9" s="14"/>
    </row>
    <row r="10" spans="1:10" ht="216" customHeight="1" x14ac:dyDescent="0.15">
      <c r="A10" s="33"/>
      <c r="B10" s="21">
        <f t="shared" ca="1" si="0"/>
        <v>2</v>
      </c>
      <c r="C10" s="16" t="s">
        <v>25</v>
      </c>
      <c r="D10" s="17" t="s">
        <v>47</v>
      </c>
      <c r="E10" s="17" t="s">
        <v>65</v>
      </c>
      <c r="F10" s="17"/>
      <c r="G10" s="17" t="s">
        <v>60</v>
      </c>
      <c r="H10" s="17" t="s">
        <v>50</v>
      </c>
      <c r="I10" s="18" t="s">
        <v>44</v>
      </c>
      <c r="J10" s="14"/>
    </row>
    <row r="11" spans="1:10" ht="147.75" customHeight="1" x14ac:dyDescent="0.15">
      <c r="A11" s="20" t="str">
        <f>大中項目!C8</f>
        <v>EVEM0202</v>
      </c>
      <c r="B11" s="22">
        <f t="shared" ca="1" si="0"/>
        <v>1</v>
      </c>
      <c r="C11" s="16" t="s">
        <v>25</v>
      </c>
      <c r="D11" s="17" t="s">
        <v>48</v>
      </c>
      <c r="E11" s="17" t="s">
        <v>66</v>
      </c>
      <c r="F11" s="19"/>
      <c r="G11" s="17" t="s">
        <v>61</v>
      </c>
      <c r="H11" s="17" t="s">
        <v>57</v>
      </c>
      <c r="I11" s="18" t="s">
        <v>44</v>
      </c>
      <c r="J11" s="14"/>
    </row>
    <row r="12" spans="1:10" ht="179.25" customHeight="1" x14ac:dyDescent="0.15">
      <c r="A12" s="34"/>
      <c r="B12" s="22">
        <f t="shared" ca="1" si="0"/>
        <v>2</v>
      </c>
      <c r="C12" s="16" t="s">
        <v>25</v>
      </c>
      <c r="D12" s="17" t="s">
        <v>49</v>
      </c>
      <c r="E12" s="17" t="s">
        <v>66</v>
      </c>
      <c r="F12" s="2"/>
      <c r="G12" s="17" t="s">
        <v>61</v>
      </c>
      <c r="H12" s="17" t="s">
        <v>50</v>
      </c>
      <c r="I12" s="18" t="s">
        <v>44</v>
      </c>
    </row>
  </sheetData>
  <mergeCells count="5">
    <mergeCell ref="A1:B1"/>
    <mergeCell ref="A2:B3"/>
    <mergeCell ref="C2:C3"/>
    <mergeCell ref="A5:I5"/>
    <mergeCell ref="A6:I6"/>
  </mergeCells>
  <phoneticPr fontId="2"/>
  <conditionalFormatting sqref="A11:B11 B9:B10 B12">
    <cfRule type="expression" dxfId="13" priority="7">
      <formula>A9&lt;&gt;""</formula>
    </cfRule>
  </conditionalFormatting>
  <conditionalFormatting sqref="B9:B10">
    <cfRule type="expression" dxfId="12" priority="6">
      <formula>B9&lt;&gt;""</formula>
    </cfRule>
  </conditionalFormatting>
  <conditionalFormatting sqref="B9:B10">
    <cfRule type="expression" dxfId="11" priority="5">
      <formula>B9&lt;&gt;""</formula>
    </cfRule>
  </conditionalFormatting>
  <conditionalFormatting sqref="B9:B10">
    <cfRule type="expression" dxfId="10" priority="4">
      <formula>B9&lt;&gt;""</formula>
    </cfRule>
  </conditionalFormatting>
  <conditionalFormatting sqref="B11:B12">
    <cfRule type="expression" dxfId="9" priority="3">
      <formula>B11&lt;&gt;""</formula>
    </cfRule>
  </conditionalFormatting>
  <conditionalFormatting sqref="B11:B12">
    <cfRule type="expression" dxfId="8" priority="2">
      <formula>B11&lt;&gt;""</formula>
    </cfRule>
  </conditionalFormatting>
  <conditionalFormatting sqref="B11:B12">
    <cfRule type="expression" dxfId="7" priority="1">
      <formula>B11&lt;&gt;""</formula>
    </cfRule>
  </conditionalFormatting>
  <dataValidations count="2">
    <dataValidation type="list" allowBlank="1" showInputMessage="1" showErrorMessage="1" sqref="I9:I12">
      <formula1>"Selenium:○,Seleniumu:△,Selenium:×,JUnit:○,JUnit:△,Junit:×,手動実行,机上"</formula1>
    </dataValidation>
    <dataValidation type="list" allowBlank="1" showInputMessage="1" showErrorMessage="1" sqref="C9:C12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zoomScale="70" zoomScaleNormal="70" workbookViewId="0">
      <pane ySplit="8" topLeftCell="A9" activePane="bottomLeft" state="frozen"/>
      <selection pane="bottomLeft" activeCell="G10" sqref="G10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5" t="s">
        <v>6</v>
      </c>
      <c r="B1" s="36"/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</row>
    <row r="2" spans="1:10" x14ac:dyDescent="0.15">
      <c r="A2" s="37" t="s">
        <v>20</v>
      </c>
      <c r="B2" s="38"/>
      <c r="C2" s="41">
        <f>COUNTA($D$9:$D$65467)</f>
        <v>3</v>
      </c>
      <c r="D2" s="12" t="str">
        <f>大中項目!B1</f>
        <v>EVEM</v>
      </c>
      <c r="E2" s="11" t="str">
        <f>大中項目!A9</f>
        <v>EVEM03</v>
      </c>
      <c r="F2" s="8"/>
      <c r="G2" s="8"/>
      <c r="H2" s="7"/>
    </row>
    <row r="3" spans="1:10" x14ac:dyDescent="0.15">
      <c r="A3" s="39"/>
      <c r="B3" s="40"/>
      <c r="C3" s="42"/>
      <c r="D3" s="12" t="str">
        <f>大中項目!B2</f>
        <v>環境依存値の外部管理</v>
      </c>
      <c r="E3" s="11"/>
      <c r="F3" s="8"/>
      <c r="G3" s="8"/>
      <c r="H3" s="8"/>
    </row>
    <row r="4" spans="1:10" x14ac:dyDescent="0.15">
      <c r="A4" s="9"/>
      <c r="B4" s="9"/>
      <c r="C4" s="9"/>
      <c r="D4" s="9"/>
      <c r="E4" s="9"/>
      <c r="F4" s="9"/>
      <c r="G4" s="9"/>
      <c r="H4" s="9"/>
      <c r="I4" s="9"/>
    </row>
    <row r="5" spans="1:10" x14ac:dyDescent="0.15">
      <c r="A5" s="43" t="s">
        <v>13</v>
      </c>
      <c r="B5" s="44"/>
      <c r="C5" s="44"/>
      <c r="D5" s="44"/>
      <c r="E5" s="44"/>
      <c r="F5" s="44"/>
      <c r="G5" s="44"/>
      <c r="H5" s="44"/>
      <c r="I5" s="45"/>
    </row>
    <row r="6" spans="1:10" ht="42" customHeight="1" x14ac:dyDescent="0.15">
      <c r="A6" s="46" t="s">
        <v>14</v>
      </c>
      <c r="B6" s="47"/>
      <c r="C6" s="47"/>
      <c r="D6" s="47"/>
      <c r="E6" s="47"/>
      <c r="F6" s="47"/>
      <c r="G6" s="47"/>
      <c r="H6" s="47"/>
      <c r="I6" s="48"/>
    </row>
    <row r="7" spans="1:10" x14ac:dyDescent="0.15">
      <c r="A7" s="10"/>
      <c r="B7" s="10"/>
      <c r="C7" s="10"/>
      <c r="D7" s="10"/>
      <c r="E7" s="10"/>
      <c r="F7" s="10"/>
      <c r="G7" s="10"/>
      <c r="H7" s="10"/>
      <c r="I7" s="10"/>
    </row>
    <row r="8" spans="1:10" ht="27" x14ac:dyDescent="0.15">
      <c r="A8" s="5" t="s">
        <v>4</v>
      </c>
      <c r="B8" s="6" t="s">
        <v>21</v>
      </c>
      <c r="C8" s="5" t="s">
        <v>15</v>
      </c>
      <c r="D8" s="5" t="s">
        <v>16</v>
      </c>
      <c r="E8" s="5" t="s">
        <v>17</v>
      </c>
      <c r="F8" s="6" t="s">
        <v>22</v>
      </c>
      <c r="G8" s="6" t="s">
        <v>23</v>
      </c>
      <c r="H8" s="5" t="s">
        <v>18</v>
      </c>
      <c r="I8" s="5" t="s">
        <v>19</v>
      </c>
    </row>
    <row r="9" spans="1:10" ht="61.5" customHeight="1" x14ac:dyDescent="0.15">
      <c r="A9" s="15" t="str">
        <f>大中項目!C9</f>
        <v>EVEM0301</v>
      </c>
      <c r="B9" s="21">
        <f ca="1">IF(A9&lt;&gt;"",1,INDIRECT(ADDRESS(ROW(B9)-1,COLUMN(B9),4))+1)</f>
        <v>1</v>
      </c>
      <c r="C9" s="16" t="s">
        <v>25</v>
      </c>
      <c r="D9" s="17" t="s">
        <v>52</v>
      </c>
      <c r="E9" s="17" t="s">
        <v>62</v>
      </c>
      <c r="F9" s="17"/>
      <c r="G9" s="17"/>
      <c r="H9" s="17" t="s">
        <v>51</v>
      </c>
      <c r="I9" s="18" t="s">
        <v>26</v>
      </c>
      <c r="J9" s="14"/>
    </row>
    <row r="10" spans="1:10" ht="61.5" customHeight="1" x14ac:dyDescent="0.15">
      <c r="A10" s="33"/>
      <c r="B10" s="21">
        <f t="shared" ref="B10:B11" ca="1" si="0">IF(A10&lt;&gt;"",1,INDIRECT(ADDRESS(ROW(B10)-1,COLUMN(B10),4))+1)</f>
        <v>2</v>
      </c>
      <c r="C10" s="16" t="s">
        <v>54</v>
      </c>
      <c r="D10" s="17" t="s">
        <v>55</v>
      </c>
      <c r="E10" s="17" t="s">
        <v>63</v>
      </c>
      <c r="F10" s="17"/>
      <c r="G10" s="17" t="s">
        <v>64</v>
      </c>
      <c r="H10" s="17" t="s">
        <v>56</v>
      </c>
      <c r="I10" s="18" t="s">
        <v>44</v>
      </c>
      <c r="J10" s="14"/>
    </row>
    <row r="11" spans="1:10" ht="57.75" customHeight="1" x14ac:dyDescent="0.15">
      <c r="A11" s="20" t="str">
        <f>大中項目!C10</f>
        <v>EVEM0302</v>
      </c>
      <c r="B11" s="22">
        <f t="shared" ca="1" si="0"/>
        <v>1</v>
      </c>
      <c r="C11" s="16" t="s">
        <v>25</v>
      </c>
      <c r="D11" s="17" t="s">
        <v>45</v>
      </c>
      <c r="E11" s="17" t="s">
        <v>53</v>
      </c>
      <c r="F11" s="19"/>
      <c r="G11" s="19"/>
      <c r="H11" s="17" t="s">
        <v>51</v>
      </c>
      <c r="I11" s="18" t="s">
        <v>26</v>
      </c>
      <c r="J11" s="14"/>
    </row>
  </sheetData>
  <mergeCells count="5">
    <mergeCell ref="A1:B1"/>
    <mergeCell ref="A2:B3"/>
    <mergeCell ref="C2:C3"/>
    <mergeCell ref="A5:I5"/>
    <mergeCell ref="A6:I6"/>
  </mergeCells>
  <phoneticPr fontId="2"/>
  <conditionalFormatting sqref="A11:B11 B9:B10">
    <cfRule type="expression" dxfId="6" priority="7">
      <formula>A9&lt;&gt;""</formula>
    </cfRule>
  </conditionalFormatting>
  <conditionalFormatting sqref="B9:B10">
    <cfRule type="expression" dxfId="5" priority="6">
      <formula>B9&lt;&gt;""</formula>
    </cfRule>
  </conditionalFormatting>
  <conditionalFormatting sqref="B9:B10">
    <cfRule type="expression" dxfId="4" priority="5">
      <formula>B9&lt;&gt;""</formula>
    </cfRule>
  </conditionalFormatting>
  <conditionalFormatting sqref="B9:B10">
    <cfRule type="expression" dxfId="3" priority="4">
      <formula>B9&lt;&gt;""</formula>
    </cfRule>
  </conditionalFormatting>
  <conditionalFormatting sqref="B11">
    <cfRule type="expression" dxfId="2" priority="3">
      <formula>B11&lt;&gt;""</formula>
    </cfRule>
  </conditionalFormatting>
  <conditionalFormatting sqref="B11">
    <cfRule type="expression" dxfId="1" priority="2">
      <formula>B11&lt;&gt;""</formula>
    </cfRule>
  </conditionalFormatting>
  <conditionalFormatting sqref="B11">
    <cfRule type="expression" dxfId="0" priority="1">
      <formula>B11&lt;&gt;""</formula>
    </cfRule>
  </conditionalFormatting>
  <dataValidations count="2">
    <dataValidation type="list" allowBlank="1" showInputMessage="1" showErrorMessage="1" sqref="C9:C11">
      <formula1>"正常,クライアントエラー,サーバーエラー"</formula1>
    </dataValidation>
    <dataValidation type="list" allowBlank="1" showInputMessage="1" showErrorMessage="1" sqref="I9:I11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大中項目</vt:lpstr>
      <vt:lpstr>EVEM01</vt:lpstr>
      <vt:lpstr>EVEM02</vt:lpstr>
      <vt:lpstr>EVEM03</vt:lpstr>
      <vt:lpstr>EVEM01!Print_Titles</vt:lpstr>
      <vt:lpstr>EVEM02!Print_Titles</vt:lpstr>
      <vt:lpstr>EVEM03!Print_Titles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yamadasnn</cp:lastModifiedBy>
  <cp:lastPrinted>2013-11-12T01:02:24Z</cp:lastPrinted>
  <dcterms:created xsi:type="dcterms:W3CDTF">2013-11-07T11:05:46Z</dcterms:created>
  <dcterms:modified xsi:type="dcterms:W3CDTF">2017-12-14T10:16:10Z</dcterms:modified>
</cp:coreProperties>
</file>