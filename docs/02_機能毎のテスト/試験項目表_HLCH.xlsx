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-sts\macchinetta-cloud-functionaltest\docs\02_機能毎のテスト\"/>
    </mc:Choice>
  </mc:AlternateContent>
  <bookViews>
    <workbookView xWindow="1440" yWindow="3465" windowWidth="25020" windowHeight="8340" activeTab="1"/>
  </bookViews>
  <sheets>
    <sheet name="大中項目" sheetId="1" r:id="rId1"/>
    <sheet name="HLCH01" sheetId="6" r:id="rId2"/>
    <sheet name="HLCH02" sheetId="8" r:id="rId3"/>
  </sheets>
  <definedNames>
    <definedName name="_xlnm.Print_Titles" localSheetId="1">HLCH01!$1:$8</definedName>
    <definedName name="_xlnm.Print_Titles" localSheetId="2">HLCH02!$1:$8</definedName>
    <definedName name="_xlnm.Print_Titles" localSheetId="0">大中項目!$1:$4</definedName>
  </definedNames>
  <calcPr calcId="152511"/>
</workbook>
</file>

<file path=xl/calcChain.xml><?xml version="1.0" encoding="utf-8"?>
<calcChain xmlns="http://schemas.openxmlformats.org/spreadsheetml/2006/main">
  <c r="A10" i="6" l="1"/>
  <c r="A11" i="6"/>
  <c r="A12" i="6"/>
  <c r="A13" i="6"/>
  <c r="A9" i="6"/>
  <c r="B10" i="8"/>
  <c r="A10" i="8"/>
  <c r="C10" i="1"/>
  <c r="C11" i="1"/>
  <c r="A6" i="1"/>
  <c r="A7" i="1"/>
  <c r="A8" i="1"/>
  <c r="A9" i="1"/>
  <c r="A10" i="1"/>
  <c r="A11" i="1"/>
  <c r="A5" i="1"/>
  <c r="C5" i="1" l="1"/>
  <c r="D3" i="8"/>
  <c r="D2" i="8"/>
  <c r="C2" i="8"/>
  <c r="C6" i="1" l="1"/>
  <c r="B9" i="6" l="1"/>
  <c r="B10" i="6"/>
  <c r="D3" i="6" l="1"/>
  <c r="D2" i="6"/>
  <c r="C7" i="1"/>
  <c r="C8" i="1" s="1"/>
  <c r="C9" i="1" s="1"/>
  <c r="B11" i="6"/>
  <c r="B12" i="6" s="1"/>
  <c r="B13" i="6" s="1"/>
  <c r="A9" i="8" l="1"/>
  <c r="B9" i="8" s="1"/>
  <c r="E2" i="8"/>
  <c r="C2" i="6"/>
</calcChain>
</file>

<file path=xl/sharedStrings.xml><?xml version="1.0" encoding="utf-8"?>
<sst xmlns="http://schemas.openxmlformats.org/spreadsheetml/2006/main" count="101" uniqueCount="60">
  <si>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</si>
  <si>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</si>
  <si>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</si>
  <si>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</si>
  <si>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</si>
  <si>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</si>
  <si>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</si>
  <si>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</si>
  <si>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</si>
  <si>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</si>
  <si>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</si>
  <si>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</si>
  <si>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</si>
  <si>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</si>
  <si>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</si>
  <si>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</si>
  <si>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</si>
  <si>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</si>
  <si>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</si>
  <si>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</si>
  <si>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</si>
  <si>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</si>
  <si>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</si>
  <si>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</si>
  <si>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</si>
  <si>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HLCH</t>
    <phoneticPr fontId="2"/>
  </si>
  <si>
    <t>ヘルスチェック</t>
    <phoneticPr fontId="2"/>
  </si>
  <si>
    <t>HLCH01</t>
    <phoneticPr fontId="2"/>
  </si>
  <si>
    <t>小松原 健</t>
    <rPh sb="0" eb="3">
      <t>コマツバラ</t>
    </rPh>
    <rPh sb="4" eb="5">
      <t>ケン</t>
    </rPh>
    <phoneticPr fontId="2"/>
  </si>
  <si>
    <t>正常</t>
  </si>
  <si>
    <t>JUnit:○</t>
  </si>
  <si>
    <t>カスタムヘルスインジケータを無効化できること</t>
    <rPh sb="14" eb="17">
      <t>ムコウカ</t>
    </rPh>
    <phoneticPr fontId="2"/>
  </si>
  <si>
    <t>サーバーエラー</t>
  </si>
  <si>
    <t>DynamoDBにアクセスできないこと</t>
    <phoneticPr fontId="2"/>
  </si>
  <si>
    <t>DynamoDBへのエンドポイントを存在しないエンドポイントに変更する。</t>
    <rPh sb="18" eb="20">
      <t>ソンザイ</t>
    </rPh>
    <rPh sb="31" eb="33">
      <t>ヘンコウ</t>
    </rPh>
    <phoneticPr fontId="2"/>
  </si>
  <si>
    <t>・dynamoDBのstatusが「DOWN」になっていること
・全体のヘルスチェック結果のstatusが「DOWN」になっていること</t>
    <rPh sb="33" eb="35">
      <t>ゼンタイ</t>
    </rPh>
    <rPh sb="43" eb="45">
      <t>ケッカ</t>
    </rPh>
    <phoneticPr fontId="2"/>
  </si>
  <si>
    <t>DynamoDBが正常のときにヘルスチェックのdynamoDBのstatusが「UP」になること</t>
    <rPh sb="9" eb="11">
      <t>セイジョウ</t>
    </rPh>
    <phoneticPr fontId="2"/>
  </si>
  <si>
    <t>ヘルスチェック結果が成功ならstatusが「UP」となること</t>
    <rPh sb="7" eb="9">
      <t>ケッカ</t>
    </rPh>
    <rPh sb="10" eb="12">
      <t>セイコウ</t>
    </rPh>
    <phoneticPr fontId="2"/>
  </si>
  <si>
    <t>ヘルスチェック結果が正常</t>
    <rPh sb="7" eb="9">
      <t>ケッカ</t>
    </rPh>
    <rPh sb="10" eb="12">
      <t>セイジョウ</t>
    </rPh>
    <phoneticPr fontId="2"/>
  </si>
  <si>
    <t>ヘルスチェック結果が異常</t>
    <rPh sb="7" eb="9">
      <t>ケッカ</t>
    </rPh>
    <rPh sb="10" eb="12">
      <t>イジョウ</t>
    </rPh>
    <phoneticPr fontId="2"/>
  </si>
  <si>
    <t>・DynamoDBのヘルスチェック結果が取得できないこと</t>
    <rPh sb="17" eb="19">
      <t>ケッカ</t>
    </rPh>
    <rPh sb="20" eb="22">
      <t>シュトク</t>
    </rPh>
    <phoneticPr fontId="2"/>
  </si>
  <si>
    <t>・ヘルスチェック結果のstatusがすべて「UP」となっていること</t>
    <rPh sb="8" eb="10">
      <t>ケッカ</t>
    </rPh>
    <phoneticPr fontId="2"/>
  </si>
  <si>
    <t>DynamoDBにアクセスできること</t>
    <phoneticPr fontId="2"/>
  </si>
  <si>
    <t>DynamoDBでエラーが発生したときにヘルスチェックのdynamoDBのstatusと全体のstatus「DOWN」になること</t>
  </si>
  <si>
    <t>DynamoDBにアクセスできること</t>
    <phoneticPr fontId="2"/>
  </si>
  <si>
    <t>・DynamoDBのヘルスチェック結果のstatusが「UP」になっていること
・DynamoDBのヘルスチェック結果のキーにamazonDynamoDBがあること</t>
    <rPh sb="17" eb="19">
      <t>ケッカ</t>
    </rPh>
    <phoneticPr fontId="2"/>
  </si>
  <si>
    <t>小松原 健</t>
    <rPh sb="0" eb="3">
      <t>コマツバラ</t>
    </rPh>
    <rPh sb="4" eb="5">
      <t>ケン</t>
    </rPh>
    <phoneticPr fontId="2"/>
  </si>
  <si>
    <t>ヘルスチェックのエンドポイントURLが変更できること</t>
    <rPh sb="19" eb="21">
      <t>ヘンコウ</t>
    </rPh>
    <phoneticPr fontId="2"/>
  </si>
  <si>
    <t>Spring Boot Actuator を依存関係に追加しただけで有効になるRDBのヘルスチェックのstatusが「UP」になること</t>
    <rPh sb="22" eb="26">
      <t>イゾンカンケイ</t>
    </rPh>
    <rPh sb="27" eb="29">
      <t>ツイカ</t>
    </rPh>
    <rPh sb="34" eb="36">
      <t>ユウコウ</t>
    </rPh>
    <phoneticPr fontId="2"/>
  </si>
  <si>
    <t>Spring Boot Actuator を依存関係に追加しただけで有効になるRDBのヘルスチェックのstatusと全体のstatus「DOWN」になること</t>
    <rPh sb="22" eb="26">
      <t>イゾンカンケイ</t>
    </rPh>
    <rPh sb="27" eb="29">
      <t>ツイカ</t>
    </rPh>
    <rPh sb="34" eb="36">
      <t>ユウコウ</t>
    </rPh>
    <phoneticPr fontId="2"/>
  </si>
  <si>
    <t>DynamoDBでエラーが発生したときにヘルスチェックのdynamoDBのstatusと全体のstatusが「DOWN」になること</t>
    <phoneticPr fontId="2"/>
  </si>
  <si>
    <t>Spring Boot Actuator を依存関係に追加しただけで有効になるRDBのヘルスチェックのstatusと全体のstatusが「DOWN」になること</t>
    <rPh sb="22" eb="26">
      <t>イゾンカンケイ</t>
    </rPh>
    <rPh sb="27" eb="29">
      <t>ツイカ</t>
    </rPh>
    <rPh sb="34" eb="36">
      <t>ユウコウ</t>
    </rPh>
    <phoneticPr fontId="2"/>
  </si>
  <si>
    <t>PostgreSQLにアクセスできないこと</t>
    <phoneticPr fontId="2"/>
  </si>
  <si>
    <t>PostgreSQLへのエンドポイントを存在しないエンドポイントに変更する。</t>
    <rPh sb="20" eb="22">
      <t>ソンザイ</t>
    </rPh>
    <rPh sb="33" eb="35">
      <t>ヘンコウ</t>
    </rPh>
    <phoneticPr fontId="2"/>
  </si>
  <si>
    <t>・dbのstatusが「DOWN」になっていること
・全体のヘルスチェック結果のstatusが「DOWN」になっていること</t>
    <rPh sb="27" eb="29">
      <t>ゼンタイ</t>
    </rPh>
    <rPh sb="37" eb="39">
      <t>ケッカ</t>
    </rPh>
    <phoneticPr fontId="2"/>
  </si>
  <si>
    <t>PostgreSQLにアクセスできること</t>
    <phoneticPr fontId="2"/>
  </si>
  <si>
    <t xml:space="preserve">・dbのstatusが「UP」になっていること
</t>
    <phoneticPr fontId="2"/>
  </si>
  <si>
    <t>「management.context-path」プロパティに 「/management」を設定する。</t>
    <rPh sb="46" eb="48">
      <t>セッテイ</t>
    </rPh>
    <phoneticPr fontId="2"/>
  </si>
  <si>
    <t>「management.health.dynamodb.enabled」プロパティに「false」を設定する。</t>
    <phoneticPr fontId="2"/>
  </si>
  <si>
    <t>「/management/health」でヘルスチェックできること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</si>
</sst>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176" fontId="6" fillId="0" borderId="1" xfId="2" applyNumberFormat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  <xf numFmtId="0" fontId="0" fillId="4" borderId="11" xfId="0" applyFill="1" applyBorder="1" applyAlignment="1">
      <alignment horizontal="center" vertical="top"/>
    </xf>
    <xf numFmtId="0" fontId="0" fillId="0" borderId="4" xfId="0" applyBorder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 wrapText="1"/>
    </xf>
  </cellXfs>
  <cellStyles count="3">
    <cellStyle name="ハイパーリンク" xfId="1" builtinId="8"/>
    <cellStyle name="標準" xfId="0" builtinId="0"/>
    <cellStyle name="標準 2" xfId="2"/>
  </cellStyles>
  <dxfs count="27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"/>
  <sheetViews>
    <sheetView zoomScale="80" zoomScaleNormal="80" workbookViewId="0">
      <pane ySplit="4" topLeftCell="A5" activePane="bottomLeft" state="frozen"/>
      <selection pane="bottomLeft" activeCell="C10" sqref="C10"/>
    </sheetView>
  </sheetViews>
  <sheetFormatPr defaultRowHeight="13.5" x14ac:dyDescent="0.15"/>
  <cols>
    <col min="1" max="1" width="9.75" bestFit="1" customWidth="1"/>
    <col min="2" max="2" width="41.25" customWidth="1"/>
    <col min="3" max="3" width="13.625" customWidth="1"/>
    <col min="4" max="4" width="75" customWidth="1"/>
  </cols>
  <sheetData>
    <row r="1" spans="1:4" x14ac:dyDescent="0.15">
      <c r="A1" s="1" t="s">
        <v>0</v>
      </c>
      <c r="B1" s="2" t="s">
        <v>25</v>
      </c>
      <c r="C1" s="25" t="s">
        <v>24</v>
      </c>
    </row>
    <row r="2" spans="1:4" x14ac:dyDescent="0.15">
      <c r="A2" s="3" t="s">
        <v>1</v>
      </c>
      <c r="B2" s="2" t="s">
        <v>26</v>
      </c>
      <c r="C2" s="2"/>
    </row>
    <row r="4" spans="1:4" x14ac:dyDescent="0.1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15">
      <c r="A5" s="23" t="str">
        <f>IF(B5="","",($B$1&amp;TEXT(IF(B5="","",COUNTA($B$5:B5)),"00")))</f>
        <v>HLCH01</v>
      </c>
      <c r="B5" s="21" t="s">
        <v>38</v>
      </c>
      <c r="C5" s="24" t="str">
        <f>IF(B5="",($B$1&amp;TEXT(IF(B5="",COUNTA($B$5:B5),1),"00")),A5)&amp;IF(B5&lt;&gt;"",TEXT(1,"00"),TEXT(IF(A5&lt;&gt;"",1,RIGHT(C4,2)+1),"00"))</f>
        <v>HLCH0101</v>
      </c>
      <c r="D5" s="5" t="s">
        <v>37</v>
      </c>
    </row>
    <row r="6" spans="1:4" x14ac:dyDescent="0.15">
      <c r="A6" s="23" t="str">
        <f>IF(B6="","",($B$1&amp;TEXT(IF(B6="","",COUNTA($B$5:B6)),"00")))</f>
        <v/>
      </c>
      <c r="B6" s="22"/>
      <c r="C6" s="24" t="str">
        <f>IF(B6="",($B$1&amp;TEXT(IF(B6="",COUNTA($B$5:B6),1),"00")),A6)&amp;IF(B6&lt;&gt;"",TEXT(1,"00"),TEXT(IF(A6&lt;&gt;"",1,RIGHT(C5,2)+1),"00"))</f>
        <v>HLCH0102</v>
      </c>
      <c r="D6" s="29" t="s">
        <v>36</v>
      </c>
    </row>
    <row r="7" spans="1:4" x14ac:dyDescent="0.15">
      <c r="A7" s="23" t="str">
        <f>IF(B7="","",($B$1&amp;TEXT(IF(B7="","",COUNTA($B$5:B7)),"00")))</f>
        <v/>
      </c>
      <c r="B7" s="22"/>
      <c r="C7" s="24" t="str">
        <f>IF(B7="",($B$1&amp;TEXT(IF(B7="",COUNTA($B$5:B7),1),"00")),A7)&amp;IF(B7&lt;&gt;"",TEXT(1,"00"),TEXT(IF(A7&lt;&gt;"",1,RIGHT(C6,2)+1),"00"))</f>
        <v>HLCH0103</v>
      </c>
      <c r="D7" s="5" t="s">
        <v>31</v>
      </c>
    </row>
    <row r="8" spans="1:4" ht="27" x14ac:dyDescent="0.15">
      <c r="A8" s="23" t="str">
        <f>IF(B8="","",($B$1&amp;TEXT(IF(B8="","",COUNTA($B$5:B8)),"00")))</f>
        <v/>
      </c>
      <c r="B8" s="22"/>
      <c r="C8" s="24" t="str">
        <f>IF(B8="",($B$1&amp;TEXT(IF(B8="",COUNTA($B$5:B8),1),"00")),A8)&amp;IF(B8&lt;&gt;"",TEXT(1,"00"),TEXT(IF(A8&lt;&gt;"",1,RIGHT(C7,2)+1),"00"))</f>
        <v>HLCH0104</v>
      </c>
      <c r="D8" s="5" t="s">
        <v>48</v>
      </c>
    </row>
    <row r="9" spans="1:4" x14ac:dyDescent="0.15">
      <c r="A9" s="23" t="str">
        <f>IF(B9="","",($B$1&amp;TEXT(IF(B9="","",COUNTA($B$5:B9)),"00")))</f>
        <v/>
      </c>
      <c r="B9" s="22"/>
      <c r="C9" s="24" t="str">
        <f>IF(B9="",($B$1&amp;TEXT(IF(B9="",COUNTA($B$5:B9),1),"00")),A9)&amp;IF(B9&lt;&gt;"",TEXT(1,"00"),TEXT(IF(A9&lt;&gt;"",1,RIGHT(C8,2)+1),"00"))</f>
        <v>HLCH0105</v>
      </c>
      <c r="D9" s="5" t="s">
        <v>47</v>
      </c>
    </row>
    <row r="10" spans="1:4" ht="27" x14ac:dyDescent="0.15">
      <c r="A10" s="23" t="str">
        <f>IF(B10="","",($B$1&amp;TEXT(IF(B10="","",COUNTA($B$5:B10)),"00")))</f>
        <v>HLCH02</v>
      </c>
      <c r="B10" s="22" t="s">
        <v>39</v>
      </c>
      <c r="C10" s="24" t="str">
        <f>IF(B10="",($B$1&amp;TEXT(IF(B10="",COUNTA($B$5:B10),1),"00")),A10)&amp;IF(B10&lt;&gt;"",TEXT(1,"00"),TEXT(IF(A10&lt;&gt;"",1,RIGHT(C9,2)+1),"00"))</f>
        <v>HLCH0201</v>
      </c>
      <c r="D10" s="5" t="s">
        <v>50</v>
      </c>
    </row>
    <row r="11" spans="1:4" ht="27" x14ac:dyDescent="0.15">
      <c r="A11" s="44" t="str">
        <f>IF(B11="","",($B$1&amp;TEXT(IF(B11="","",COUNTA($B$5:B11)),"00")))</f>
        <v/>
      </c>
      <c r="B11" s="45"/>
      <c r="C11" s="24" t="str">
        <f>IF(B11="",($B$1&amp;TEXT(IF(B11="",COUNTA($B$5:B11),1),"00")),A11)&amp;IF(B11&lt;&gt;"",TEXT(1,"00"),TEXT(IF(A11&lt;&gt;"",1,RIGHT(C10,2)+1),"00"))</f>
        <v>HLCH0202</v>
      </c>
      <c r="D11" s="5" t="s">
        <v>51</v>
      </c>
    </row>
  </sheetData>
  <phoneticPr fontId="2"/>
  <conditionalFormatting sqref="B5:B6">
    <cfRule type="expression" dxfId="25" priority="41">
      <formula>B5&lt;&gt;""</formula>
    </cfRule>
  </conditionalFormatting>
  <conditionalFormatting sqref="B7:B9">
    <cfRule type="expression" dxfId="24" priority="40">
      <formula>B7&lt;&gt;""</formula>
    </cfRule>
  </conditionalFormatting>
  <conditionalFormatting sqref="B10">
    <cfRule type="expression" dxfId="23" priority="39">
      <formula>B10&lt;&gt;""</formula>
    </cfRule>
  </conditionalFormatting>
  <conditionalFormatting sqref="A5:A11">
    <cfRule type="expression" dxfId="3" priority="1">
      <formula>A5&lt;&gt;""</formula>
    </cfRule>
  </conditionalFormatting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Views>
    <sheetView tabSelected="1" zoomScale="80" zoomScaleNormal="80" workbookViewId="0">
      <pane ySplit="8" topLeftCell="A9" activePane="bottomLeft" state="frozen"/>
      <selection pane="bottomLeft" activeCell="H13" sqref="H13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30" t="s">
        <v>6</v>
      </c>
      <c r="B1" s="31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15">
      <c r="A2" s="32" t="s">
        <v>20</v>
      </c>
      <c r="B2" s="33"/>
      <c r="C2" s="36">
        <f>COUNTA($D$9:$D$65497)</f>
        <v>5</v>
      </c>
      <c r="D2" s="19" t="str">
        <f>大中項目!B1</f>
        <v>HLCH</v>
      </c>
      <c r="E2" s="17" t="s">
        <v>27</v>
      </c>
      <c r="F2" s="9" t="s">
        <v>28</v>
      </c>
      <c r="G2" s="9" t="s">
        <v>46</v>
      </c>
      <c r="H2" s="8"/>
    </row>
    <row r="3" spans="1:10" x14ac:dyDescent="0.15">
      <c r="A3" s="34"/>
      <c r="B3" s="35"/>
      <c r="C3" s="37"/>
      <c r="D3" s="19" t="str">
        <f>大中項目!B2</f>
        <v>ヘルスチェック</v>
      </c>
      <c r="E3" s="17" t="s">
        <v>26</v>
      </c>
      <c r="F3" s="9">
        <v>43019</v>
      </c>
      <c r="G3" s="9">
        <v>43069</v>
      </c>
      <c r="H3" s="9"/>
    </row>
    <row r="4" spans="1:10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15">
      <c r="A5" s="38" t="s">
        <v>13</v>
      </c>
      <c r="B5" s="39"/>
      <c r="C5" s="39"/>
      <c r="D5" s="39"/>
      <c r="E5" s="39"/>
      <c r="F5" s="39"/>
      <c r="G5" s="39"/>
      <c r="H5" s="39"/>
      <c r="I5" s="40"/>
    </row>
    <row r="6" spans="1:10" ht="42" customHeight="1" x14ac:dyDescent="0.15">
      <c r="A6" s="41" t="s">
        <v>14</v>
      </c>
      <c r="B6" s="42"/>
      <c r="C6" s="42"/>
      <c r="D6" s="42"/>
      <c r="E6" s="42"/>
      <c r="F6" s="42"/>
      <c r="G6" s="42"/>
      <c r="H6" s="42"/>
      <c r="I6" s="43"/>
    </row>
    <row r="7" spans="1:10" x14ac:dyDescent="0.15">
      <c r="A7" s="11"/>
      <c r="B7" s="11"/>
      <c r="C7" s="11"/>
      <c r="D7" s="11"/>
      <c r="E7" s="11"/>
      <c r="F7" s="11"/>
      <c r="G7" s="11"/>
      <c r="H7" s="11"/>
      <c r="I7" s="11"/>
    </row>
    <row r="8" spans="1:10" ht="27" x14ac:dyDescent="0.15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27" x14ac:dyDescent="0.15">
      <c r="A9" s="12" t="str">
        <f>大中項目!C5</f>
        <v>HLCH0101</v>
      </c>
      <c r="B9" s="18">
        <f t="shared" ref="B9:B13" ca="1" si="0">IF(A9&lt;&gt;"",1,INDIRECT(ADDRESS(ROW(B9)-1,COLUMN(B9),4))+1)</f>
        <v>1</v>
      </c>
      <c r="C9" s="13" t="s">
        <v>29</v>
      </c>
      <c r="D9" s="5" t="s">
        <v>37</v>
      </c>
      <c r="E9" s="14"/>
      <c r="F9" s="16" t="s">
        <v>44</v>
      </c>
      <c r="G9" s="14"/>
      <c r="H9" s="14" t="s">
        <v>41</v>
      </c>
      <c r="I9" s="15" t="s">
        <v>30</v>
      </c>
      <c r="J9" s="26"/>
    </row>
    <row r="10" spans="1:10" ht="54" x14ac:dyDescent="0.15">
      <c r="A10" s="12" t="str">
        <f>大中項目!C6</f>
        <v>HLCH0102</v>
      </c>
      <c r="B10" s="18">
        <f t="shared" ca="1" si="0"/>
        <v>1</v>
      </c>
      <c r="C10" s="13" t="s">
        <v>29</v>
      </c>
      <c r="D10" s="27" t="s">
        <v>36</v>
      </c>
      <c r="E10" s="16"/>
      <c r="F10" s="16" t="s">
        <v>44</v>
      </c>
      <c r="G10" s="16"/>
      <c r="H10" s="16" t="s">
        <v>45</v>
      </c>
      <c r="I10" s="15" t="s">
        <v>30</v>
      </c>
      <c r="J10" s="26"/>
    </row>
    <row r="11" spans="1:10" ht="27" x14ac:dyDescent="0.15">
      <c r="A11" s="12" t="str">
        <f>大中項目!C7</f>
        <v>HLCH0103</v>
      </c>
      <c r="B11" s="20">
        <f t="shared" ca="1" si="0"/>
        <v>1</v>
      </c>
      <c r="C11" s="13" t="s">
        <v>29</v>
      </c>
      <c r="D11" s="5" t="s">
        <v>31</v>
      </c>
      <c r="E11" s="16"/>
      <c r="F11" s="16" t="s">
        <v>42</v>
      </c>
      <c r="G11" s="16" t="s">
        <v>58</v>
      </c>
      <c r="H11" s="16" t="s">
        <v>40</v>
      </c>
      <c r="I11" s="15" t="s">
        <v>30</v>
      </c>
      <c r="J11" s="26"/>
    </row>
    <row r="12" spans="1:10" ht="54" x14ac:dyDescent="0.15">
      <c r="A12" s="12" t="str">
        <f>大中項目!C8</f>
        <v>HLCH0104</v>
      </c>
      <c r="B12" s="20">
        <f t="shared" ca="1" si="0"/>
        <v>1</v>
      </c>
      <c r="C12" s="13" t="s">
        <v>29</v>
      </c>
      <c r="D12" s="5" t="s">
        <v>48</v>
      </c>
      <c r="E12" s="2"/>
      <c r="F12" s="46" t="s">
        <v>55</v>
      </c>
      <c r="G12" s="2"/>
      <c r="H12" s="16" t="s">
        <v>56</v>
      </c>
      <c r="I12" s="15" t="s">
        <v>30</v>
      </c>
    </row>
    <row r="13" spans="1:10" ht="27" x14ac:dyDescent="0.15">
      <c r="A13" s="28" t="str">
        <f>大中項目!C9</f>
        <v>HLCH0105</v>
      </c>
      <c r="B13" s="20">
        <f t="shared" ca="1" si="0"/>
        <v>1</v>
      </c>
      <c r="C13" s="13" t="s">
        <v>29</v>
      </c>
      <c r="D13" s="5" t="s">
        <v>47</v>
      </c>
      <c r="E13" s="2"/>
      <c r="F13" s="2"/>
      <c r="G13" s="48" t="s">
        <v>57</v>
      </c>
      <c r="H13" s="2" t="s">
        <v>59</v>
      </c>
      <c r="I13" s="15" t="s">
        <v>30</v>
      </c>
    </row>
  </sheetData>
  <mergeCells count="5">
    <mergeCell ref="A1:B1"/>
    <mergeCell ref="A2:B3"/>
    <mergeCell ref="C2:C3"/>
    <mergeCell ref="A5:I5"/>
    <mergeCell ref="A6:I6"/>
  </mergeCells>
  <phoneticPr fontId="2"/>
  <conditionalFormatting sqref="B9:B13">
    <cfRule type="expression" dxfId="18" priority="109">
      <formula>B9&lt;&gt;""</formula>
    </cfRule>
  </conditionalFormatting>
  <conditionalFormatting sqref="B10">
    <cfRule type="expression" dxfId="17" priority="30">
      <formula>B10&lt;&gt;""</formula>
    </cfRule>
  </conditionalFormatting>
  <conditionalFormatting sqref="B10">
    <cfRule type="expression" dxfId="16" priority="29">
      <formula>B10&lt;&gt;""</formula>
    </cfRule>
  </conditionalFormatting>
  <conditionalFormatting sqref="B10">
    <cfRule type="expression" dxfId="15" priority="28">
      <formula>B10&lt;&gt;""</formula>
    </cfRule>
  </conditionalFormatting>
  <conditionalFormatting sqref="B11:B13">
    <cfRule type="expression" dxfId="14" priority="27">
      <formula>B11&lt;&gt;""</formula>
    </cfRule>
  </conditionalFormatting>
  <conditionalFormatting sqref="B11:B13">
    <cfRule type="expression" dxfId="13" priority="26">
      <formula>B11&lt;&gt;""</formula>
    </cfRule>
  </conditionalFormatting>
  <conditionalFormatting sqref="B11:B13">
    <cfRule type="expression" dxfId="12" priority="25">
      <formula>B11&lt;&gt;""</formula>
    </cfRule>
  </conditionalFormatting>
  <dataValidations count="2">
    <dataValidation type="list" allowBlank="1" showInputMessage="1" showErrorMessage="1" sqref="I9:I13">
      <formula1>"Selenium:○,Seleniumu:△,Selenium:×,JUnit:○,JUnit:△,Junit:×,手動実行,机上"</formula1>
    </dataValidation>
    <dataValidation type="list" allowBlank="1" showInputMessage="1" showErrorMessage="1" sqref="C9:C13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zoomScale="80" zoomScaleNormal="80" workbookViewId="0">
      <pane ySplit="8" topLeftCell="A9" activePane="bottomLeft" state="frozen"/>
      <selection pane="bottomLeft" activeCell="H10" sqref="H10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30" t="s">
        <v>6</v>
      </c>
      <c r="B1" s="31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15">
      <c r="A2" s="32" t="s">
        <v>20</v>
      </c>
      <c r="B2" s="33"/>
      <c r="C2" s="36">
        <f>COUNTA($D$9:$D$65495)</f>
        <v>2</v>
      </c>
      <c r="D2" s="19" t="str">
        <f>大中項目!B1</f>
        <v>HLCH</v>
      </c>
      <c r="E2" s="17" t="str">
        <f>大中項目!A10</f>
        <v>HLCH02</v>
      </c>
      <c r="F2" s="9" t="s">
        <v>28</v>
      </c>
      <c r="G2" s="9" t="s">
        <v>28</v>
      </c>
      <c r="H2" s="8"/>
    </row>
    <row r="3" spans="1:10" x14ac:dyDescent="0.15">
      <c r="A3" s="34"/>
      <c r="B3" s="35"/>
      <c r="C3" s="37"/>
      <c r="D3" s="19" t="str">
        <f>大中項目!B2</f>
        <v>ヘルスチェック</v>
      </c>
      <c r="E3" s="17" t="s">
        <v>26</v>
      </c>
      <c r="F3" s="9">
        <v>43019</v>
      </c>
      <c r="G3" s="9">
        <v>43069</v>
      </c>
      <c r="H3" s="9"/>
    </row>
    <row r="4" spans="1:10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15">
      <c r="A5" s="38" t="s">
        <v>13</v>
      </c>
      <c r="B5" s="39"/>
      <c r="C5" s="39"/>
      <c r="D5" s="39"/>
      <c r="E5" s="39"/>
      <c r="F5" s="39"/>
      <c r="G5" s="39"/>
      <c r="H5" s="39"/>
      <c r="I5" s="40"/>
    </row>
    <row r="6" spans="1:10" ht="42" customHeight="1" x14ac:dyDescent="0.15">
      <c r="A6" s="41" t="s">
        <v>14</v>
      </c>
      <c r="B6" s="42"/>
      <c r="C6" s="42"/>
      <c r="D6" s="42"/>
      <c r="E6" s="42"/>
      <c r="F6" s="42"/>
      <c r="G6" s="42"/>
      <c r="H6" s="42"/>
      <c r="I6" s="43"/>
    </row>
    <row r="7" spans="1:10" x14ac:dyDescent="0.15">
      <c r="A7" s="11"/>
      <c r="B7" s="11"/>
      <c r="C7" s="11"/>
      <c r="D7" s="11"/>
      <c r="E7" s="11"/>
      <c r="F7" s="11"/>
      <c r="G7" s="11"/>
      <c r="H7" s="11"/>
      <c r="I7" s="11"/>
    </row>
    <row r="8" spans="1:10" ht="27" x14ac:dyDescent="0.15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54" x14ac:dyDescent="0.15">
      <c r="A9" s="28" t="str">
        <f>大中項目!C10</f>
        <v>HLCH0201</v>
      </c>
      <c r="B9" s="20">
        <f t="shared" ref="B9:B10" ca="1" si="0">IF(A9&lt;&gt;"",1,INDIRECT(ADDRESS(ROW(B9)-1,COLUMN(B9),4))+1)</f>
        <v>1</v>
      </c>
      <c r="C9" s="13" t="s">
        <v>32</v>
      </c>
      <c r="D9" s="5" t="s">
        <v>43</v>
      </c>
      <c r="E9" s="16"/>
      <c r="F9" s="16" t="s">
        <v>33</v>
      </c>
      <c r="G9" s="16" t="s">
        <v>34</v>
      </c>
      <c r="H9" s="16" t="s">
        <v>35</v>
      </c>
      <c r="I9" s="15" t="s">
        <v>30</v>
      </c>
      <c r="J9" s="26"/>
    </row>
    <row r="10" spans="1:10" ht="67.5" x14ac:dyDescent="0.15">
      <c r="A10" s="47" t="str">
        <f>大中項目!C11</f>
        <v>HLCH0202</v>
      </c>
      <c r="B10" s="20">
        <f t="shared" ca="1" si="0"/>
        <v>1</v>
      </c>
      <c r="C10" s="13" t="s">
        <v>32</v>
      </c>
      <c r="D10" s="5" t="s">
        <v>49</v>
      </c>
      <c r="E10" s="2"/>
      <c r="F10" s="46" t="s">
        <v>52</v>
      </c>
      <c r="G10" s="5" t="s">
        <v>53</v>
      </c>
      <c r="H10" s="16" t="s">
        <v>54</v>
      </c>
      <c r="I10" s="15" t="s">
        <v>30</v>
      </c>
    </row>
  </sheetData>
  <mergeCells count="5">
    <mergeCell ref="A1:B1"/>
    <mergeCell ref="A2:B3"/>
    <mergeCell ref="C2:C3"/>
    <mergeCell ref="A5:I5"/>
    <mergeCell ref="A6:I6"/>
  </mergeCells>
  <phoneticPr fontId="2"/>
  <conditionalFormatting sqref="B9:B10">
    <cfRule type="expression" dxfId="11" priority="13">
      <formula>B9&lt;&gt;""</formula>
    </cfRule>
  </conditionalFormatting>
  <conditionalFormatting sqref="B9:B10">
    <cfRule type="expression" dxfId="10" priority="6">
      <formula>B9&lt;&gt;""</formula>
    </cfRule>
  </conditionalFormatting>
  <conditionalFormatting sqref="B9:B10">
    <cfRule type="expression" dxfId="9" priority="5">
      <formula>B9&lt;&gt;""</formula>
    </cfRule>
  </conditionalFormatting>
  <conditionalFormatting sqref="B9:B10">
    <cfRule type="expression" dxfId="8" priority="4">
      <formula>B9&lt;&gt;""</formula>
    </cfRule>
  </conditionalFormatting>
  <conditionalFormatting sqref="B9:B10">
    <cfRule type="expression" dxfId="7" priority="3">
      <formula>B9&lt;&gt;""</formula>
    </cfRule>
  </conditionalFormatting>
  <conditionalFormatting sqref="B9:B10">
    <cfRule type="expression" dxfId="6" priority="2">
      <formula>B9&lt;&gt;""</formula>
    </cfRule>
  </conditionalFormatting>
  <conditionalFormatting sqref="B9:B10">
    <cfRule type="expression" dxfId="5" priority="1">
      <formula>B9&lt;&gt;""</formula>
    </cfRule>
  </conditionalFormatting>
  <dataValidations count="2">
    <dataValidation type="list" allowBlank="1" showInputMessage="1" showErrorMessage="1" sqref="C9:C10">
      <formula1>"正常,クライアントエラー,サーバーエラー"</formula1>
    </dataValidation>
    <dataValidation type="list" allowBlank="1" showInputMessage="1" showErrorMessage="1" sqref="I9:I10">
      <formula1>"Selenium:○,Seleniumu:△,Selenium:×,JUnit:○,JUnit:△,Junit:×,手動実行,机上"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大中項目</vt:lpstr>
      <vt:lpstr>HLCH01</vt:lpstr>
      <vt:lpstr>HLCH02</vt:lpstr>
      <vt:lpstr>HLCH01!Print_Titles</vt:lpstr>
      <vt:lpstr>HLCH02!Print_Titles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btnishizawasga</cp:lastModifiedBy>
  <cp:lastPrinted>2013-11-12T01:02:24Z</cp:lastPrinted>
  <dcterms:created xsi:type="dcterms:W3CDTF">2013-11-07T11:05:46Z</dcterms:created>
  <dcterms:modified xsi:type="dcterms:W3CDTF">2017-11-30T07:37:24Z</dcterms:modified>
</cp:coreProperties>
</file>