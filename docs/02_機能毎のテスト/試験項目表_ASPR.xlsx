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_yggd\macchinetta-cloud-functionaltest\docs\02_機能毎のテスト\"/>
    </mc:Choice>
  </mc:AlternateContent>
  <bookViews>
    <workbookView xWindow="1440" yWindow="3468" windowWidth="25020" windowHeight="8340" activeTab="2"/>
  </bookViews>
  <sheets>
    <sheet name="大中項目" sheetId="1" r:id="rId1"/>
    <sheet name="ASPR01" sheetId="6" r:id="rId2"/>
    <sheet name="ASPR02" sheetId="7" r:id="rId3"/>
  </sheets>
  <definedNames>
    <definedName name="_xlnm.Print_Titles" localSheetId="1">ASPR01!$1:$8</definedName>
    <definedName name="_xlnm.Print_Titles" localSheetId="2">ASPR02!$1:$8</definedName>
    <definedName name="_xlnm.Print_Titles" localSheetId="0">大中項目!$1:$4</definedName>
  </definedNames>
  <calcPr calcId="152511"/>
</workbook>
</file>

<file path=xl/calcChain.xml><?xml version="1.0" encoding="utf-8"?>
<calcChain xmlns="http://schemas.openxmlformats.org/spreadsheetml/2006/main">
  <c r="B10" i="7" l="1"/>
  <c r="B9" i="7"/>
  <c r="B11" i="7" l="1"/>
  <c r="D3" i="7"/>
  <c r="D2" i="7"/>
  <c r="C2" i="7"/>
  <c r="D3" i="6" l="1"/>
  <c r="D2" i="6"/>
  <c r="A14" i="1"/>
  <c r="A12" i="1"/>
  <c r="A11" i="1"/>
  <c r="A9" i="1"/>
  <c r="A7" i="1"/>
  <c r="A13" i="1"/>
  <c r="A10" i="1"/>
  <c r="A8" i="1"/>
  <c r="A6" i="1"/>
  <c r="A5" i="1"/>
  <c r="B9" i="6"/>
  <c r="C5" i="1" l="1"/>
  <c r="C6" i="1" l="1"/>
  <c r="C7" i="1" l="1"/>
  <c r="C8" i="1" l="1"/>
  <c r="C2" i="6"/>
  <c r="C9" i="1" l="1"/>
  <c r="C10" i="1" l="1"/>
  <c r="C11" i="1" l="1"/>
  <c r="C12" i="1" l="1"/>
  <c r="C13" i="1" l="1"/>
  <c r="C14" i="1" l="1"/>
</calcChain>
</file>

<file path=xl/sharedStrings.xml><?xml version="1.0" encoding="utf-8"?>
<sst xmlns="http://schemas.openxmlformats.org/spreadsheetml/2006/main" count="89" uniqueCount="64">
  <si>
    <t>機能ID</t>
    <rPh sb="0" eb="2">
      <t>キノウ</t>
    </rPh>
    <phoneticPr fontId="2"/>
  </si>
  <si>
    <t>機能名</t>
    <rPh sb="0" eb="3">
      <t>キノウメイ</t>
    </rPh>
    <phoneticPr fontId="2"/>
  </si>
  <si>
    <t>大項目ID</t>
    <rPh sb="0" eb="3">
      <t>ダイコウモク</t>
    </rPh>
    <phoneticPr fontId="2"/>
  </si>
  <si>
    <t>大項目</t>
    <rPh sb="0" eb="3">
      <t>ダイコウモク</t>
    </rPh>
    <phoneticPr fontId="2"/>
  </si>
  <si>
    <t>中項目ID</t>
    <rPh sb="0" eb="3">
      <t>チュウコウモク</t>
    </rPh>
    <phoneticPr fontId="2"/>
  </si>
  <si>
    <t>中項目</t>
    <rPh sb="0" eb="3">
      <t>チュウコウモク</t>
    </rPh>
    <phoneticPr fontId="2"/>
  </si>
  <si>
    <t>試験項目表</t>
    <rPh sb="0" eb="2">
      <t>シケン</t>
    </rPh>
    <rPh sb="2" eb="4">
      <t>コウモク</t>
    </rPh>
    <phoneticPr fontId="8"/>
  </si>
  <si>
    <t>件数</t>
    <rPh sb="0" eb="2">
      <t>ケンスウ</t>
    </rPh>
    <phoneticPr fontId="8"/>
  </si>
  <si>
    <t>機能ID/機能名</t>
    <rPh sb="0" eb="2">
      <t>キノウ</t>
    </rPh>
    <rPh sb="5" eb="7">
      <t>キノウ</t>
    </rPh>
    <rPh sb="7" eb="8">
      <t>メイ</t>
    </rPh>
    <phoneticPr fontId="8"/>
  </si>
  <si>
    <t>大項目ID/大項目名</t>
    <rPh sb="0" eb="3">
      <t>ダイコウモク</t>
    </rPh>
    <rPh sb="6" eb="9">
      <t>ダイコウモク</t>
    </rPh>
    <rPh sb="9" eb="10">
      <t>メイ</t>
    </rPh>
    <phoneticPr fontId="8"/>
  </si>
  <si>
    <t>作成者/作成日</t>
    <phoneticPr fontId="8"/>
  </si>
  <si>
    <t>更新者/更新日</t>
    <rPh sb="0" eb="3">
      <t>コウシンシャ</t>
    </rPh>
    <rPh sb="4" eb="7">
      <t>コウシンビ</t>
    </rPh>
    <phoneticPr fontId="8"/>
  </si>
  <si>
    <t>レビュー実施者/
レビュー日</t>
    <rPh sb="13" eb="14">
      <t>ビ</t>
    </rPh>
    <phoneticPr fontId="8"/>
  </si>
  <si>
    <t>特記事項</t>
    <rPh sb="0" eb="2">
      <t>トッキ</t>
    </rPh>
    <rPh sb="2" eb="4">
      <t>ジコウ</t>
    </rPh>
    <phoneticPr fontId="8"/>
  </si>
  <si>
    <t>特になし</t>
    <rPh sb="0" eb="1">
      <t>トク</t>
    </rPh>
    <phoneticPr fontId="2"/>
  </si>
  <si>
    <t>分類</t>
    <rPh sb="0" eb="2">
      <t>ブンルイ</t>
    </rPh>
    <phoneticPr fontId="2"/>
  </si>
  <si>
    <t>試験項目</t>
    <rPh sb="0" eb="2">
      <t>シケン</t>
    </rPh>
    <rPh sb="2" eb="4">
      <t>コウモク</t>
    </rPh>
    <phoneticPr fontId="2"/>
  </si>
  <si>
    <t>試験条件</t>
    <rPh sb="0" eb="2">
      <t>シケン</t>
    </rPh>
    <rPh sb="2" eb="4">
      <t>ジョウケン</t>
    </rPh>
    <phoneticPr fontId="2"/>
  </si>
  <si>
    <t>確認内容</t>
    <rPh sb="0" eb="2">
      <t>カクニン</t>
    </rPh>
    <rPh sb="2" eb="4">
      <t>ナイヨウ</t>
    </rPh>
    <phoneticPr fontId="2"/>
  </si>
  <si>
    <t>確認方法</t>
    <rPh sb="0" eb="2">
      <t>カクニン</t>
    </rPh>
    <rPh sb="2" eb="4">
      <t>ホウホウ</t>
    </rPh>
    <phoneticPr fontId="2"/>
  </si>
  <si>
    <t>大中項目へ</t>
    <rPh sb="0" eb="2">
      <t>ダイチュウ</t>
    </rPh>
    <rPh sb="2" eb="4">
      <t>コウモク</t>
    </rPh>
    <phoneticPr fontId="2"/>
  </si>
  <si>
    <t>Case
ID</t>
    <phoneticPr fontId="2"/>
  </si>
  <si>
    <t>試験条件詳細【事前条件】</t>
    <rPh sb="7" eb="9">
      <t>ジゼン</t>
    </rPh>
    <rPh sb="9" eb="11">
      <t>ジョウケン</t>
    </rPh>
    <phoneticPr fontId="8"/>
  </si>
  <si>
    <t>試験条件詳細【実施条件】</t>
    <phoneticPr fontId="8"/>
  </si>
  <si>
    <t>総件数</t>
    <rPh sb="0" eb="3">
      <t>ソウケンスウ</t>
    </rPh>
    <phoneticPr fontId="2"/>
  </si>
  <si>
    <t>ASPR</t>
    <phoneticPr fontId="2"/>
  </si>
  <si>
    <t>非同期処理の実装</t>
    <rPh sb="0" eb="5">
      <t>ヒドウキショリ</t>
    </rPh>
    <rPh sb="6" eb="8">
      <t>ジッソウ</t>
    </rPh>
    <phoneticPr fontId="2"/>
  </si>
  <si>
    <t>SQSの同期送信</t>
    <rPh sb="4" eb="6">
      <t>ドウキ</t>
    </rPh>
    <rPh sb="6" eb="8">
      <t>ソウシン</t>
    </rPh>
    <phoneticPr fontId="2"/>
  </si>
  <si>
    <t>ASPR01</t>
    <phoneticPr fontId="2"/>
  </si>
  <si>
    <t>SQSの同期送信</t>
    <phoneticPr fontId="2"/>
  </si>
  <si>
    <t>ASPR0101</t>
    <phoneticPr fontId="2"/>
  </si>
  <si>
    <t>正常</t>
  </si>
  <si>
    <t>正常</t>
    <rPh sb="0" eb="2">
      <t>セイジョウ</t>
    </rPh>
    <phoneticPr fontId="2"/>
  </si>
  <si>
    <t>SQS標準キューを用いた同期送信</t>
    <rPh sb="3" eb="5">
      <t>ヒョウジュン</t>
    </rPh>
    <rPh sb="9" eb="10">
      <t>モチ</t>
    </rPh>
    <rPh sb="12" eb="16">
      <t>ドウキソウシン</t>
    </rPh>
    <phoneticPr fontId="2"/>
  </si>
  <si>
    <t>Spring JMSの機能JmsMessagingTemplateを使用してSQSの標準キューに対して同期送信を行う。</t>
    <rPh sb="11" eb="13">
      <t>キノウ</t>
    </rPh>
    <rPh sb="34" eb="36">
      <t>シヨウ</t>
    </rPh>
    <rPh sb="42" eb="44">
      <t>ヒョウジュン</t>
    </rPh>
    <rPh sb="48" eb="49">
      <t>タイ</t>
    </rPh>
    <rPh sb="51" eb="53">
      <t>ドウキ</t>
    </rPh>
    <rPh sb="53" eb="55">
      <t>ソウシン</t>
    </rPh>
    <rPh sb="56" eb="57">
      <t>オコナ</t>
    </rPh>
    <phoneticPr fontId="2"/>
  </si>
  <si>
    <t>同JmsMessagingTemplateを使用し同期受信を行い、キューから得られたメッセージを画面に表示させる。</t>
    <rPh sb="0" eb="1">
      <t>ドウ</t>
    </rPh>
    <rPh sb="22" eb="24">
      <t>シヨウ</t>
    </rPh>
    <rPh sb="25" eb="29">
      <t>ドウキジュシン</t>
    </rPh>
    <rPh sb="30" eb="31">
      <t>オコナ</t>
    </rPh>
    <rPh sb="38" eb="39">
      <t>エ</t>
    </rPh>
    <rPh sb="48" eb="50">
      <t>ガメン</t>
    </rPh>
    <rPh sb="51" eb="53">
      <t>ヒョウジ</t>
    </rPh>
    <phoneticPr fontId="2"/>
  </si>
  <si>
    <t>Selenium:○</t>
  </si>
  <si>
    <t>SQSの非同期受信</t>
    <rPh sb="4" eb="7">
      <t>ヒドウキ</t>
    </rPh>
    <rPh sb="7" eb="9">
      <t>ジュシン</t>
    </rPh>
    <phoneticPr fontId="2"/>
  </si>
  <si>
    <t>ASPR02</t>
    <phoneticPr fontId="2"/>
  </si>
  <si>
    <t>ASPR0201</t>
    <phoneticPr fontId="2"/>
  </si>
  <si>
    <t>画面から入力された3件のUUIDメッセージを同期送信する。</t>
    <rPh sb="0" eb="2">
      <t>ガメン</t>
    </rPh>
    <rPh sb="4" eb="6">
      <t>ニュウリョク</t>
    </rPh>
    <rPh sb="10" eb="11">
      <t>ケン</t>
    </rPh>
    <rPh sb="22" eb="24">
      <t>ドウキ</t>
    </rPh>
    <rPh sb="24" eb="26">
      <t>ソウシン</t>
    </rPh>
    <phoneticPr fontId="2"/>
  </si>
  <si>
    <t>SQSスタンダードキューに加え、Spring JMSの@JmsListenerを使用した非同期受信の動作を確認する。</t>
    <rPh sb="13" eb="14">
      <t>クワ</t>
    </rPh>
    <rPh sb="40" eb="42">
      <t>シヨウ</t>
    </rPh>
    <rPh sb="44" eb="49">
      <t>ヒドウキジュシン</t>
    </rPh>
    <rPh sb="50" eb="52">
      <t>ドウサ</t>
    </rPh>
    <rPh sb="53" eb="55">
      <t>カクニン</t>
    </rPh>
    <phoneticPr fontId="2"/>
  </si>
  <si>
    <t>Spring JMSの@JmsListenerを利用したでSQSスタンダードキューの二重受信が発生した場合、後続のメッセージを受けて起動する業務処理が抑止できることを確認する。</t>
    <rPh sb="24" eb="26">
      <t>リヨウ</t>
    </rPh>
    <rPh sb="42" eb="46">
      <t>ニジュウジュシン</t>
    </rPh>
    <rPh sb="47" eb="49">
      <t>ハッセイ</t>
    </rPh>
    <rPh sb="51" eb="53">
      <t>バアイ</t>
    </rPh>
    <rPh sb="54" eb="56">
      <t>コウゾク</t>
    </rPh>
    <rPh sb="63" eb="64">
      <t>ウ</t>
    </rPh>
    <rPh sb="66" eb="68">
      <t>キドウ</t>
    </rPh>
    <rPh sb="70" eb="74">
      <t>ギョウムショリ</t>
    </rPh>
    <rPh sb="75" eb="77">
      <t>ヨクシ</t>
    </rPh>
    <rPh sb="83" eb="85">
      <t>カクニン</t>
    </rPh>
    <phoneticPr fontId="2"/>
  </si>
  <si>
    <t>SQSにreservation-queueという名前のスタンダードキューが用意されていること。
試験開始時のメッセージ件数が0であること。</t>
    <rPh sb="24" eb="26">
      <t>ナマエ</t>
    </rPh>
    <rPh sb="37" eb="39">
      <t>ヨウイ</t>
    </rPh>
    <rPh sb="48" eb="50">
      <t>シケン</t>
    </rPh>
    <rPh sb="50" eb="52">
      <t>カイシ</t>
    </rPh>
    <rPh sb="52" eb="53">
      <t>ジ</t>
    </rPh>
    <rPh sb="59" eb="61">
      <t>ケンスウ</t>
    </rPh>
    <phoneticPr fontId="2"/>
  </si>
  <si>
    <t>Spring MVCコントローラからサービスにリクエストデータを渡す。
リクエストデータを元にSQSスタンダードキューにメッセージを送信する。</t>
    <rPh sb="32" eb="33">
      <t>ワタ</t>
    </rPh>
    <rPh sb="45" eb="46">
      <t>モト</t>
    </rPh>
    <rPh sb="66" eb="68">
      <t>ソウシン</t>
    </rPh>
    <phoneticPr fontId="2"/>
  </si>
  <si>
    <t>非同期受信時の業務処理が失敗し続けた場合、SQSスタンダードキューから指定されたデッドレターキューに移動することを確認する。</t>
    <rPh sb="0" eb="6">
      <t>ヒドウキジュシンジ</t>
    </rPh>
    <rPh sb="7" eb="11">
      <t>ギョウムショリ</t>
    </rPh>
    <rPh sb="12" eb="14">
      <t>シッパイ</t>
    </rPh>
    <rPh sb="15" eb="16">
      <t>ツヅ</t>
    </rPh>
    <rPh sb="18" eb="20">
      <t>バアイ</t>
    </rPh>
    <rPh sb="35" eb="37">
      <t>シテイ</t>
    </rPh>
    <rPh sb="50" eb="52">
      <t>イドウ</t>
    </rPh>
    <rPh sb="57" eb="59">
      <t>カクニン</t>
    </rPh>
    <phoneticPr fontId="2"/>
  </si>
  <si>
    <t>SQSスタンダードキューを使用した同期メッセージの送信を確認する。</t>
    <rPh sb="13" eb="15">
      <t>シヨウ</t>
    </rPh>
    <rPh sb="17" eb="19">
      <t>ドウキ</t>
    </rPh>
    <rPh sb="25" eb="27">
      <t>ソウシン</t>
    </rPh>
    <rPh sb="28" eb="30">
      <t>カクニン</t>
    </rPh>
    <phoneticPr fontId="2"/>
  </si>
  <si>
    <t>非同期受信リスナー起動前にSQS受信メッセージIDの管理テーブルがクリアされていること。
SQSにreservation-queueという名前のスタンダートキューが準備されていること。
リスナ側のSQS受信のポーリング間隔は20秒とする。
リスナースレッドが1分以上目的のメッセージを受信できない場合はエラーとする。
試験時点ではリスナースレッドは停止していること。</t>
    <rPh sb="0" eb="5">
      <t>ヒドウキジュシン</t>
    </rPh>
    <rPh sb="9" eb="12">
      <t>キドウマエ</t>
    </rPh>
    <rPh sb="16" eb="18">
      <t>ジュシン</t>
    </rPh>
    <rPh sb="26" eb="28">
      <t>カンリ</t>
    </rPh>
    <rPh sb="69" eb="71">
      <t>ナマエ</t>
    </rPh>
    <rPh sb="82" eb="84">
      <t>ジュンビ</t>
    </rPh>
    <rPh sb="96" eb="97">
      <t>ガワ</t>
    </rPh>
    <rPh sb="101" eb="103">
      <t>ジュシン</t>
    </rPh>
    <rPh sb="109" eb="111">
      <t>カンカク</t>
    </rPh>
    <rPh sb="114" eb="115">
      <t>ビョウ</t>
    </rPh>
    <rPh sb="130" eb="131">
      <t>プン</t>
    </rPh>
    <rPh sb="131" eb="133">
      <t>イジョウ</t>
    </rPh>
    <rPh sb="133" eb="135">
      <t>モクテキ</t>
    </rPh>
    <rPh sb="142" eb="144">
      <t>ジュシン</t>
    </rPh>
    <rPh sb="148" eb="150">
      <t>バアイ</t>
    </rPh>
    <rPh sb="159" eb="161">
      <t>シケン</t>
    </rPh>
    <rPh sb="161" eb="163">
      <t>ジテン</t>
    </rPh>
    <rPh sb="174" eb="176">
      <t>テイシ</t>
    </rPh>
    <phoneticPr fontId="2"/>
  </si>
  <si>
    <t>3件のメッセージが1分以内に非同期で受信でき、画面に表示されること。
送受信のメッセージIDのログ出力のみは目視で確認する。
順序性は保証されていないため、送信で使用した3件のUUIDを辞書順ソートした上で一致することで検証する。</t>
    <rPh sb="1" eb="2">
      <t>ケン</t>
    </rPh>
    <rPh sb="10" eb="11">
      <t>プン</t>
    </rPh>
    <rPh sb="11" eb="13">
      <t>イナイ</t>
    </rPh>
    <rPh sb="14" eb="17">
      <t>ヒドウキ</t>
    </rPh>
    <rPh sb="18" eb="20">
      <t>ジュシン</t>
    </rPh>
    <rPh sb="23" eb="25">
      <t>ガメン</t>
    </rPh>
    <rPh sb="26" eb="28">
      <t>ヒョウジ</t>
    </rPh>
    <rPh sb="35" eb="38">
      <t>ソウジュシン</t>
    </rPh>
    <rPh sb="49" eb="51">
      <t>シュツリョク</t>
    </rPh>
    <rPh sb="54" eb="56">
      <t>モクシ</t>
    </rPh>
    <rPh sb="57" eb="59">
      <t>カクニン</t>
    </rPh>
    <rPh sb="63" eb="66">
      <t>ジュンジョセイ</t>
    </rPh>
    <rPh sb="67" eb="69">
      <t>ホショウ</t>
    </rPh>
    <rPh sb="78" eb="80">
      <t>ソウシン</t>
    </rPh>
    <rPh sb="81" eb="83">
      <t>シヨウ</t>
    </rPh>
    <rPh sb="86" eb="87">
      <t>ケン</t>
    </rPh>
    <rPh sb="93" eb="95">
      <t>ジショ</t>
    </rPh>
    <rPh sb="95" eb="96">
      <t>ジュン</t>
    </rPh>
    <rPh sb="101" eb="102">
      <t>ウエ</t>
    </rPh>
    <rPh sb="103" eb="105">
      <t>イッチ</t>
    </rPh>
    <rPh sb="110" eb="112">
      <t>ケンショウ</t>
    </rPh>
    <phoneticPr fontId="2"/>
  </si>
  <si>
    <t>ASPR0202</t>
    <phoneticPr fontId="2"/>
  </si>
  <si>
    <t>SQSスタンダードキューと@JmsListenerを用いた非同期受信</t>
    <rPh sb="26" eb="27">
      <t>モチ</t>
    </rPh>
    <rPh sb="29" eb="34">
      <t>ヒドウキジュシン</t>
    </rPh>
    <phoneticPr fontId="2"/>
  </si>
  <si>
    <t>SQSスタンダードキュー使用による、同一メッセージ二重受信発生</t>
    <rPh sb="12" eb="14">
      <t>シヨウ</t>
    </rPh>
    <rPh sb="18" eb="20">
      <t>ドウイツ</t>
    </rPh>
    <rPh sb="25" eb="29">
      <t>ニジュウジュシン</t>
    </rPh>
    <rPh sb="29" eb="31">
      <t>ハッセイ</t>
    </rPh>
    <phoneticPr fontId="2"/>
  </si>
  <si>
    <t>試験開始前に試験対象メッセージをSQSスタンダードキューに送信する。
非同期受信前にあらかじめメッセージIDを退避しておき、RDSのメッセージID管理テーブルに登録した状態で非同期受信を実施する。</t>
    <phoneticPr fontId="2"/>
  </si>
  <si>
    <t>JMS非同期受信リスナーを起動し、SQSスタンダードキューからのメッセージを受信する。</t>
    <rPh sb="3" eb="8">
      <t>ヒドウキジュシン</t>
    </rPh>
    <rPh sb="13" eb="15">
      <t>キドウ</t>
    </rPh>
    <rPh sb="38" eb="40">
      <t>ジュシン</t>
    </rPh>
    <phoneticPr fontId="2"/>
  </si>
  <si>
    <t>サーバーエラー</t>
  </si>
  <si>
    <t>SQSスタンダードキュー使用による、</t>
    <rPh sb="12" eb="14">
      <t>シヨウ</t>
    </rPh>
    <phoneticPr fontId="2"/>
  </si>
  <si>
    <t>Spring JMSの機能@JmsListenerを使用してSQSのスタンダードキューに対して同期送信を行う。
なお、RDS上にスタンダードキューの二重受信チェックを行うための受信メッセージIDを保持するテーブルを使用する。
SQSスタンダードキューとしてreservation-queueという名前で事前に登録する。</t>
    <rPh sb="62" eb="63">
      <t>ジョウ</t>
    </rPh>
    <rPh sb="74" eb="78">
      <t>ニジュウジュシン</t>
    </rPh>
    <rPh sb="83" eb="84">
      <t>オコナ</t>
    </rPh>
    <rPh sb="88" eb="90">
      <t>ジュシン</t>
    </rPh>
    <rPh sb="98" eb="100">
      <t>ホジ</t>
    </rPh>
    <rPh sb="107" eb="109">
      <t>シヨウ</t>
    </rPh>
    <rPh sb="148" eb="150">
      <t>ナマエ</t>
    </rPh>
    <rPh sb="151" eb="153">
      <t>ジゼン</t>
    </rPh>
    <rPh sb="154" eb="156">
      <t>トウロク</t>
    </rPh>
    <phoneticPr fontId="2"/>
  </si>
  <si>
    <t>Spring JMSの機能@JmsListenerを使用してSQSのスタンダードキューに対して同期送信を行う。
なお、RDS上にスタンダードキューの二重受信チェックを行うための受信メッセージIDを保持するテーブルを使用する。
SQSスタンダードキューとしてreservation-queueという名前で事前に登録する。</t>
    <rPh sb="62" eb="63">
      <t>ジョウ</t>
    </rPh>
    <rPh sb="74" eb="78">
      <t>ニジュウジュシン</t>
    </rPh>
    <rPh sb="83" eb="84">
      <t>オコナ</t>
    </rPh>
    <rPh sb="88" eb="90">
      <t>ジュシン</t>
    </rPh>
    <rPh sb="98" eb="100">
      <t>ホジ</t>
    </rPh>
    <rPh sb="107" eb="109">
      <t>シヨウ</t>
    </rPh>
    <phoneticPr fontId="2"/>
  </si>
  <si>
    <t>Spring JMSの機能@JmsListenerを使用してSQSのスタンダードキューに対して同期送信を行う。
なお、RDS上にスタンダードキューの二重受信チェックを行うための受信メッセージIDを保持するテーブルを使用する。
SQSスタンダードキューとしてreservation-queue、このデッドレターキューとしてreservation-deadletterを事前に登録する。
(デッドレターキューの最大受信数は10とする)</t>
    <rPh sb="62" eb="63">
      <t>ジョウ</t>
    </rPh>
    <rPh sb="74" eb="78">
      <t>ニジュウジュシン</t>
    </rPh>
    <rPh sb="83" eb="84">
      <t>オコナ</t>
    </rPh>
    <rPh sb="88" eb="90">
      <t>ジュシン</t>
    </rPh>
    <rPh sb="98" eb="100">
      <t>ホジ</t>
    </rPh>
    <rPh sb="107" eb="109">
      <t>シヨウ</t>
    </rPh>
    <rPh sb="203" eb="207">
      <t>サイダイジュシン</t>
    </rPh>
    <rPh sb="207" eb="208">
      <t>スウ</t>
    </rPh>
    <phoneticPr fontId="2"/>
  </si>
  <si>
    <t>試験開始前に試験対象メッセージをSQSスタンダードキューに送信する。
RDSの受信メッセージID管理テーブルはクリアしておく。
受信の都度、業務処理内で例外をスローし、@JmsListenerの外まで到達させる。（JMSリスナのacknoledge="client"として受信失敗フラグをたてる。）</t>
    <rPh sb="39" eb="41">
      <t>ジュシン</t>
    </rPh>
    <rPh sb="48" eb="50">
      <t>カンリ</t>
    </rPh>
    <rPh sb="64" eb="66">
      <t>ジュシン</t>
    </rPh>
    <rPh sb="67" eb="69">
      <t>ツド</t>
    </rPh>
    <rPh sb="70" eb="74">
      <t>ギョウムショリ</t>
    </rPh>
    <rPh sb="74" eb="75">
      <t>ナイ</t>
    </rPh>
    <rPh sb="76" eb="78">
      <t>レイガイ</t>
    </rPh>
    <rPh sb="97" eb="98">
      <t>ソト</t>
    </rPh>
    <rPh sb="100" eb="102">
      <t>トウタツ</t>
    </rPh>
    <rPh sb="136" eb="140">
      <t>ジュシンシッパイ</t>
    </rPh>
    <phoneticPr fontId="2"/>
  </si>
  <si>
    <t xml:space="preserve">非同期受信は実施されているため、スタンダードキューから、メッセージが削除されていること。
受信したメッセージがデッドレターキューに移動すること。
業務処理が例外スローによりロールバックされ、RDSに受信メッセージIDが１件も登録されていないこと。
</t>
    <rPh sb="0" eb="5">
      <t>ヒドウキジュシン</t>
    </rPh>
    <rPh sb="6" eb="8">
      <t>ジッシ</t>
    </rPh>
    <rPh sb="34" eb="36">
      <t>サクジョ</t>
    </rPh>
    <rPh sb="45" eb="47">
      <t>ジュシン</t>
    </rPh>
    <rPh sb="65" eb="67">
      <t>イドウ</t>
    </rPh>
    <rPh sb="73" eb="77">
      <t>ギョウムショリ</t>
    </rPh>
    <rPh sb="78" eb="80">
      <t>レイガイ</t>
    </rPh>
    <rPh sb="99" eb="101">
      <t>ジュシン</t>
    </rPh>
    <rPh sb="110" eb="111">
      <t>ケン</t>
    </rPh>
    <rPh sb="112" eb="114">
      <t>トウロク</t>
    </rPh>
    <phoneticPr fontId="2"/>
  </si>
  <si>
    <t>ASPR0203</t>
    <phoneticPr fontId="2"/>
  </si>
  <si>
    <t>Seleniumu:△</t>
  </si>
  <si>
    <t>非同期受信は実施されているため、スタンダードキューから、メッセージが削除されていること。
RDSによる一位制約違反検知により、業務処理がスキップされていること。
一意制約違反が発生したメッセージIDはMDCとインターセプターログを使用し、目視で確認する。</t>
    <rPh sb="0" eb="5">
      <t>ヒドウキジュシン</t>
    </rPh>
    <rPh sb="6" eb="8">
      <t>ジッシ</t>
    </rPh>
    <rPh sb="34" eb="36">
      <t>サクジョ</t>
    </rPh>
    <rPh sb="51" eb="55">
      <t>イチイセイヤク</t>
    </rPh>
    <rPh sb="55" eb="57">
      <t>イハン</t>
    </rPh>
    <rPh sb="57" eb="59">
      <t>ケンチ</t>
    </rPh>
    <rPh sb="63" eb="67">
      <t>ギョウムショリ</t>
    </rPh>
    <rPh sb="81" eb="87">
      <t>イチイセイヤクイハン</t>
    </rPh>
    <rPh sb="88" eb="90">
      <t>ハッセイ</t>
    </rPh>
    <rPh sb="115" eb="117">
      <t>シヨウ</t>
    </rPh>
    <rPh sb="119" eb="121">
      <t>モクシ</t>
    </rPh>
    <rPh sb="122" eb="124">
      <t>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</si>
</sst>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&lt;=999]000;[&lt;=9999]000\-00;000\-0000"/>
  </numFmts>
  <fonts count="9" x14ac:knownFonts="1"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</cellStyleXfs>
  <cellXfs count="4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6" fillId="0" borderId="1" xfId="2" applyBorder="1" applyAlignment="1">
      <alignment horizontal="center" vertical="center"/>
    </xf>
    <xf numFmtId="14" fontId="6" fillId="0" borderId="1" xfId="2" applyNumberFormat="1" applyBorder="1" applyAlignment="1">
      <alignment horizontal="center" vertical="center"/>
    </xf>
    <xf numFmtId="0" fontId="6" fillId="0" borderId="0" xfId="2" applyAlignment="1">
      <alignment vertical="center"/>
    </xf>
    <xf numFmtId="0" fontId="6" fillId="0" borderId="0" xfId="2">
      <alignment vertical="center"/>
    </xf>
    <xf numFmtId="0" fontId="6" fillId="0" borderId="1" xfId="2" applyBorder="1" applyAlignment="1">
      <alignment horizontal="left" vertical="top" wrapText="1"/>
    </xf>
    <xf numFmtId="49" fontId="6" fillId="0" borderId="1" xfId="2" applyNumberFormat="1" applyBorder="1" applyAlignment="1">
      <alignment horizontal="left" vertical="top" wrapText="1"/>
    </xf>
    <xf numFmtId="14" fontId="6" fillId="0" borderId="1" xfId="2" applyNumberFormat="1" applyBorder="1" applyAlignment="1">
      <alignment horizontal="center" vertical="top" wrapText="1"/>
    </xf>
    <xf numFmtId="0" fontId="6" fillId="0" borderId="1" xfId="2" applyNumberFormat="1" applyBorder="1" applyAlignment="1">
      <alignment horizontal="center" vertical="center"/>
    </xf>
    <xf numFmtId="0" fontId="6" fillId="4" borderId="1" xfId="2" applyNumberFormat="1" applyFill="1" applyBorder="1" applyAlignment="1">
      <alignment horizontal="center" vertical="center"/>
    </xf>
    <xf numFmtId="176" fontId="6" fillId="4" borderId="1" xfId="2" applyNumberFormat="1" applyFill="1" applyBorder="1" applyAlignment="1">
      <alignment horizontal="center" vertical="top" wrapText="1"/>
    </xf>
    <xf numFmtId="0" fontId="0" fillId="0" borderId="2" xfId="0" applyNumberFormat="1" applyBorder="1" applyAlignment="1">
      <alignment horizontal="left" vertical="top" wrapText="1"/>
    </xf>
    <xf numFmtId="0" fontId="0" fillId="0" borderId="3" xfId="0" applyNumberFormat="1" applyBorder="1" applyAlignment="1">
      <alignment horizontal="left" vertical="top" wrapText="1"/>
    </xf>
    <xf numFmtId="0" fontId="0" fillId="0" borderId="4" xfId="0" applyNumberFormat="1" applyBorder="1" applyAlignment="1">
      <alignment horizontal="left" vertical="top" wrapText="1"/>
    </xf>
    <xf numFmtId="0" fontId="0" fillId="4" borderId="0" xfId="0" applyFill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5" fillId="4" borderId="3" xfId="1" applyFill="1" applyBorder="1" applyAlignment="1" applyProtection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176" fontId="6" fillId="0" borderId="1" xfId="2" applyNumberFormat="1" applyBorder="1" applyAlignment="1">
      <alignment horizontal="center" vertical="top" wrapText="1"/>
    </xf>
    <xf numFmtId="0" fontId="7" fillId="3" borderId="6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 wrapText="1"/>
    </xf>
    <xf numFmtId="0" fontId="5" fillId="4" borderId="5" xfId="1" applyFill="1" applyBorder="1" applyAlignment="1" applyProtection="1">
      <alignment horizontal="center" vertical="center"/>
    </xf>
    <xf numFmtId="0" fontId="5" fillId="4" borderId="9" xfId="1" applyFill="1" applyBorder="1" applyAlignment="1" applyProtection="1">
      <alignment horizontal="center" vertical="center"/>
    </xf>
    <xf numFmtId="0" fontId="5" fillId="4" borderId="10" xfId="1" applyFill="1" applyBorder="1" applyAlignment="1" applyProtection="1">
      <alignment horizontal="center" vertical="center"/>
    </xf>
    <xf numFmtId="0" fontId="5" fillId="4" borderId="11" xfId="1" applyFill="1" applyBorder="1" applyAlignment="1" applyProtection="1">
      <alignment horizontal="center" vertical="center"/>
    </xf>
    <xf numFmtId="0" fontId="6" fillId="4" borderId="2" xfId="2" applyFill="1" applyBorder="1" applyAlignment="1">
      <alignment horizontal="center" vertical="center"/>
    </xf>
    <xf numFmtId="0" fontId="6" fillId="4" borderId="4" xfId="2" applyFill="1" applyBorder="1" applyAlignment="1">
      <alignment horizontal="center" vertical="center"/>
    </xf>
    <xf numFmtId="0" fontId="7" fillId="3" borderId="6" xfId="2" applyFont="1" applyFill="1" applyBorder="1" applyAlignment="1">
      <alignment horizontal="left" vertical="center"/>
    </xf>
    <xf numFmtId="0" fontId="7" fillId="3" borderId="7" xfId="2" applyFont="1" applyFill="1" applyBorder="1" applyAlignment="1">
      <alignment horizontal="left" vertical="center"/>
    </xf>
    <xf numFmtId="0" fontId="7" fillId="3" borderId="8" xfId="2" applyFont="1" applyFill="1" applyBorder="1" applyAlignment="1">
      <alignment horizontal="left" vertical="center"/>
    </xf>
    <xf numFmtId="49" fontId="6" fillId="0" borderId="6" xfId="2" applyNumberFormat="1" applyBorder="1" applyAlignment="1">
      <alignment horizontal="left" vertical="top"/>
    </xf>
    <xf numFmtId="49" fontId="6" fillId="0" borderId="7" xfId="2" applyNumberFormat="1" applyBorder="1" applyAlignment="1">
      <alignment horizontal="left" vertical="top"/>
    </xf>
    <xf numFmtId="49" fontId="6" fillId="0" borderId="8" xfId="2" applyNumberFormat="1" applyBorder="1" applyAlignment="1">
      <alignment horizontal="left" vertical="top"/>
    </xf>
  </cellXfs>
  <cellStyles count="3">
    <cellStyle name="ハイパーリンク" xfId="1" builtinId="8"/>
    <cellStyle name="標準" xfId="0" builtinId="0"/>
    <cellStyle name="標準 2" xfId="2"/>
  </cellStyles>
  <dxfs count="56"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zoomScale="80" zoomScaleNormal="80" workbookViewId="0">
      <pane ySplit="4" topLeftCell="A5" activePane="bottomLeft" state="frozen"/>
      <selection pane="bottomLeft" activeCell="B23" sqref="B23"/>
    </sheetView>
  </sheetViews>
  <sheetFormatPr defaultRowHeight="13.2" x14ac:dyDescent="0.2"/>
  <cols>
    <col min="1" max="1" width="9.77734375" bestFit="1" customWidth="1"/>
    <col min="2" max="2" width="41.21875" customWidth="1"/>
    <col min="3" max="3" width="13.6640625" customWidth="1"/>
    <col min="4" max="4" width="75" customWidth="1"/>
  </cols>
  <sheetData>
    <row r="1" spans="1:4" x14ac:dyDescent="0.2">
      <c r="A1" s="1" t="s">
        <v>0</v>
      </c>
      <c r="B1" s="2" t="s">
        <v>25</v>
      </c>
      <c r="C1" s="26" t="s">
        <v>24</v>
      </c>
    </row>
    <row r="2" spans="1:4" x14ac:dyDescent="0.2">
      <c r="A2" s="3" t="s">
        <v>1</v>
      </c>
      <c r="B2" s="2" t="s">
        <v>26</v>
      </c>
      <c r="C2" s="2"/>
    </row>
    <row r="4" spans="1:4" x14ac:dyDescent="0.2">
      <c r="A4" s="4" t="s">
        <v>2</v>
      </c>
      <c r="B4" s="4" t="s">
        <v>3</v>
      </c>
      <c r="C4" s="4" t="s">
        <v>4</v>
      </c>
      <c r="D4" s="4" t="s">
        <v>5</v>
      </c>
    </row>
    <row r="5" spans="1:4" ht="25.8" customHeight="1" x14ac:dyDescent="0.2">
      <c r="A5" s="21" t="str">
        <f>IF(B5="","",($B$1&amp;TEXT(IF(B5="","",COUNTA($B$5:B5)),"00")))</f>
        <v>ASPR01</v>
      </c>
      <c r="B5" s="18" t="s">
        <v>27</v>
      </c>
      <c r="C5" s="25" t="str">
        <f>IF(B5="",($B$1&amp;TEXT(IF(B5="",COUNTA($B$5:B5),1),"00")),A5)&amp;IF(B5&lt;&gt;"",TEXT(1,"00"),TEXT(IF(A5&lt;&gt;"",1,RIGHT(C4,2)+1),"00"))</f>
        <v>ASPR0101</v>
      </c>
      <c r="D5" s="5" t="s">
        <v>46</v>
      </c>
    </row>
    <row r="6" spans="1:4" ht="26.4" x14ac:dyDescent="0.2">
      <c r="A6" s="22" t="str">
        <f>IF(B6="","",($B$1&amp;TEXT(IF(B6="","",COUNTA($B$5:B6)),"00")))</f>
        <v>ASPR02</v>
      </c>
      <c r="B6" s="19" t="s">
        <v>37</v>
      </c>
      <c r="C6" s="25" t="str">
        <f>IF(B6="",($B$1&amp;TEXT(IF(B6="",COUNTA($B$5:B6),1),"00")),A6)&amp;IF(B6&lt;&gt;"",TEXT(1,"00"),TEXT(IF(A6&lt;&gt;"",1,RIGHT(C5,2)+1),"00"))</f>
        <v>ASPR0201</v>
      </c>
      <c r="D6" s="5" t="s">
        <v>41</v>
      </c>
    </row>
    <row r="7" spans="1:4" ht="32.4" customHeight="1" x14ac:dyDescent="0.2">
      <c r="A7" s="22" t="str">
        <f>IF(B7="","",($B$1&amp;TEXT(IF(B7="","",COUNTA($B$5:B7)),"00")))</f>
        <v/>
      </c>
      <c r="B7" s="19"/>
      <c r="C7" s="25" t="str">
        <f>IF(B7="",($B$1&amp;TEXT(IF(B7="",COUNTA($B$5:B7),1),"00")),A7)&amp;IF(B7&lt;&gt;"",TEXT(1,"00"),TEXT(IF(A7&lt;&gt;"",1,RIGHT(C6,2)+1),"00"))</f>
        <v>ASPR0202</v>
      </c>
      <c r="D7" s="5" t="s">
        <v>42</v>
      </c>
    </row>
    <row r="8" spans="1:4" ht="30.6" customHeight="1" x14ac:dyDescent="0.2">
      <c r="A8" s="21" t="str">
        <f>IF(B8="","",($B$1&amp;TEXT(IF(B8="","",COUNTA($B$5:B8)),"00")))</f>
        <v/>
      </c>
      <c r="B8" s="19"/>
      <c r="C8" s="25" t="str">
        <f>IF(B8="",($B$1&amp;TEXT(IF(B8="",COUNTA($B$5:B8),1),"00")),A8)&amp;IF(B8&lt;&gt;"",TEXT(1,"00"),TEXT(IF(A8&lt;&gt;"",1,RIGHT(C7,2)+1),"00"))</f>
        <v>ASPR0203</v>
      </c>
      <c r="D8" s="5" t="s">
        <v>45</v>
      </c>
    </row>
    <row r="9" spans="1:4" x14ac:dyDescent="0.2">
      <c r="A9" s="22" t="str">
        <f>IF(B9="","",($B$1&amp;TEXT(IF(B9="","",COUNTA($B$5:B9)),"00")))</f>
        <v/>
      </c>
      <c r="B9" s="19"/>
      <c r="C9" s="25" t="str">
        <f>IF(B9="",($B$1&amp;TEXT(IF(B9="",COUNTA($B$5:B9),1),"00")),A9)&amp;IF(B9&lt;&gt;"",TEXT(1,"00"),TEXT(IF(A9&lt;&gt;"",1,RIGHT(C8,2)+1),"00"))</f>
        <v>ASPR0204</v>
      </c>
      <c r="D9" s="5"/>
    </row>
    <row r="10" spans="1:4" x14ac:dyDescent="0.2">
      <c r="A10" s="23" t="str">
        <f>IF(B10="","",($B$1&amp;TEXT(IF(B10="","",COUNTA($B$5:B10)),"00")))</f>
        <v/>
      </c>
      <c r="B10" s="19"/>
      <c r="C10" s="25" t="str">
        <f>IF(B10="",($B$1&amp;TEXT(IF(B10="",COUNTA($B$5:B10),1),"00")),A10)&amp;IF(B10&lt;&gt;"",TEXT(1,"00"),TEXT(IF(A10&lt;&gt;"",1,RIGHT(C9,2)+1),"00"))</f>
        <v>ASPR0205</v>
      </c>
      <c r="D10" s="5"/>
    </row>
    <row r="11" spans="1:4" x14ac:dyDescent="0.2">
      <c r="A11" s="22" t="str">
        <f>IF(B11="","",($B$1&amp;TEXT(IF(B11="","",COUNTA($B$5:B11)),"00")))</f>
        <v/>
      </c>
      <c r="B11" s="19"/>
      <c r="C11" s="25" t="str">
        <f>IF(B11="",($B$1&amp;TEXT(IF(B11="",COUNTA($B$5:B11),1),"00")),A11)&amp;IF(B11&lt;&gt;"",TEXT(1,"00"),TEXT(IF(A11&lt;&gt;"",1,RIGHT(C10,2)+1),"00"))</f>
        <v>ASPR0206</v>
      </c>
      <c r="D11" s="5"/>
    </row>
    <row r="12" spans="1:4" x14ac:dyDescent="0.2">
      <c r="A12" s="22" t="str">
        <f>IF(B12="","",($B$1&amp;TEXT(IF(B12="","",COUNTA($B$5:B12)),"00")))</f>
        <v/>
      </c>
      <c r="B12" s="19"/>
      <c r="C12" s="25" t="str">
        <f>IF(B12="",($B$1&amp;TEXT(IF(B12="",COUNTA($B$5:B12),1),"00")),A12)&amp;IF(B12&lt;&gt;"",TEXT(1,"00"),TEXT(IF(A12&lt;&gt;"",1,RIGHT(C11,2)+1),"00"))</f>
        <v>ASPR0207</v>
      </c>
      <c r="D12" s="5"/>
    </row>
    <row r="13" spans="1:4" x14ac:dyDescent="0.2">
      <c r="A13" s="23" t="str">
        <f>IF(B13="","",($B$1&amp;TEXT(IF(B13="","",COUNTA($B$5:B13)),"00")))</f>
        <v/>
      </c>
      <c r="B13" s="19"/>
      <c r="C13" s="25" t="str">
        <f>IF(B13="",($B$1&amp;TEXT(IF(B13="",COUNTA($B$5:B13),1),"00")),A13)&amp;IF(B13&lt;&gt;"",TEXT(1,"00"),TEXT(IF(A13&lt;&gt;"",1,RIGHT(C12,2)+1),"00"))</f>
        <v>ASPR0208</v>
      </c>
      <c r="D13" s="5"/>
    </row>
    <row r="14" spans="1:4" x14ac:dyDescent="0.2">
      <c r="A14" s="24" t="str">
        <f>IF(B14="","",($B$1&amp;TEXT(IF(B14="","",COUNTA($B$5:B14)),"00")))</f>
        <v/>
      </c>
      <c r="B14" s="20"/>
      <c r="C14" s="25" t="str">
        <f>IF(B14="",($B$1&amp;TEXT(IF(B14="",COUNTA($B$5:B14),1),"00")),A14)&amp;IF(B14&lt;&gt;"",TEXT(1,"00"),TEXT(IF(A14&lt;&gt;"",1,RIGHT(C13,2)+1),"00"))</f>
        <v>ASPR0209</v>
      </c>
      <c r="D14" s="5"/>
    </row>
  </sheetData>
  <phoneticPr fontId="2"/>
  <conditionalFormatting sqref="B5">
    <cfRule type="expression" dxfId="55" priority="40">
      <formula>B5&lt;&gt;""</formula>
    </cfRule>
  </conditionalFormatting>
  <conditionalFormatting sqref="B6">
    <cfRule type="expression" dxfId="54" priority="39">
      <formula>B6&lt;&gt;""</formula>
    </cfRule>
  </conditionalFormatting>
  <conditionalFormatting sqref="B7">
    <cfRule type="expression" dxfId="53" priority="38">
      <formula>B7&lt;&gt;""</formula>
    </cfRule>
  </conditionalFormatting>
  <conditionalFormatting sqref="B8">
    <cfRule type="expression" dxfId="52" priority="37">
      <formula>B8&lt;&gt;""</formula>
    </cfRule>
  </conditionalFormatting>
  <conditionalFormatting sqref="B9">
    <cfRule type="expression" dxfId="51" priority="36">
      <formula>B9&lt;&gt;""</formula>
    </cfRule>
  </conditionalFormatting>
  <conditionalFormatting sqref="B10">
    <cfRule type="expression" dxfId="50" priority="35">
      <formula>B10&lt;&gt;""</formula>
    </cfRule>
  </conditionalFormatting>
  <conditionalFormatting sqref="B11">
    <cfRule type="expression" dxfId="49" priority="34">
      <formula>B11&lt;&gt;""</formula>
    </cfRule>
  </conditionalFormatting>
  <conditionalFormatting sqref="B12">
    <cfRule type="expression" dxfId="48" priority="33">
      <formula>B12&lt;&gt;""</formula>
    </cfRule>
  </conditionalFormatting>
  <conditionalFormatting sqref="B13">
    <cfRule type="expression" dxfId="47" priority="32">
      <formula>B13&lt;&gt;""</formula>
    </cfRule>
  </conditionalFormatting>
  <conditionalFormatting sqref="B14">
    <cfRule type="expression" dxfId="46" priority="31">
      <formula>B14&lt;&gt;""</formula>
    </cfRule>
  </conditionalFormatting>
  <conditionalFormatting sqref="A5">
    <cfRule type="expression" dxfId="45" priority="30">
      <formula>A5&lt;&gt;""</formula>
    </cfRule>
  </conditionalFormatting>
  <conditionalFormatting sqref="A8">
    <cfRule type="expression" dxfId="44" priority="27">
      <formula>A8&lt;&gt;""</formula>
    </cfRule>
  </conditionalFormatting>
  <conditionalFormatting sqref="A9">
    <cfRule type="expression" dxfId="43" priority="26">
      <formula>A9&lt;&gt;""</formula>
    </cfRule>
  </conditionalFormatting>
  <conditionalFormatting sqref="A10">
    <cfRule type="expression" dxfId="42" priority="25">
      <formula>A10&lt;&gt;""</formula>
    </cfRule>
  </conditionalFormatting>
  <conditionalFormatting sqref="A11">
    <cfRule type="expression" dxfId="41" priority="24">
      <formula>A11&lt;&gt;""</formula>
    </cfRule>
  </conditionalFormatting>
  <conditionalFormatting sqref="A12">
    <cfRule type="expression" dxfId="40" priority="23">
      <formula>A12&lt;&gt;""</formula>
    </cfRule>
  </conditionalFormatting>
  <conditionalFormatting sqref="A13">
    <cfRule type="expression" dxfId="39" priority="22">
      <formula>A13&lt;&gt;""</formula>
    </cfRule>
  </conditionalFormatting>
  <conditionalFormatting sqref="A14">
    <cfRule type="expression" dxfId="38" priority="21">
      <formula>A14&lt;&gt;""</formula>
    </cfRule>
  </conditionalFormatting>
  <conditionalFormatting sqref="A14">
    <cfRule type="expression" dxfId="37" priority="20">
      <formula>A14&lt;&gt;""</formula>
    </cfRule>
  </conditionalFormatting>
  <conditionalFormatting sqref="A11">
    <cfRule type="expression" dxfId="36" priority="19">
      <formula>A11&lt;&gt;""</formula>
    </cfRule>
  </conditionalFormatting>
  <conditionalFormatting sqref="A12">
    <cfRule type="expression" dxfId="35" priority="18">
      <formula>A12&lt;&gt;""</formula>
    </cfRule>
  </conditionalFormatting>
  <conditionalFormatting sqref="A6">
    <cfRule type="expression" dxfId="34" priority="15">
      <formula>A6&lt;&gt;""</formula>
    </cfRule>
  </conditionalFormatting>
  <conditionalFormatting sqref="A7">
    <cfRule type="expression" dxfId="33" priority="14">
      <formula>A7&lt;&gt;""</formula>
    </cfRule>
  </conditionalFormatting>
  <conditionalFormatting sqref="A8">
    <cfRule type="expression" dxfId="32" priority="13">
      <formula>A8&lt;&gt;""</formula>
    </cfRule>
  </conditionalFormatting>
  <conditionalFormatting sqref="A9">
    <cfRule type="expression" dxfId="31" priority="12">
      <formula>A9&lt;&gt;""</formula>
    </cfRule>
  </conditionalFormatting>
  <conditionalFormatting sqref="A10">
    <cfRule type="expression" dxfId="30" priority="11">
      <formula>A10&lt;&gt;""</formula>
    </cfRule>
  </conditionalFormatting>
  <conditionalFormatting sqref="A11">
    <cfRule type="expression" dxfId="29" priority="10">
      <formula>A11&lt;&gt;""</formula>
    </cfRule>
  </conditionalFormatting>
  <conditionalFormatting sqref="A12">
    <cfRule type="expression" dxfId="28" priority="9">
      <formula>A12&lt;&gt;""</formula>
    </cfRule>
  </conditionalFormatting>
  <conditionalFormatting sqref="A13">
    <cfRule type="expression" dxfId="27" priority="8">
      <formula>A13&lt;&gt;""</formula>
    </cfRule>
  </conditionalFormatting>
  <conditionalFormatting sqref="A14">
    <cfRule type="expression" dxfId="26" priority="7">
      <formula>A14&lt;&gt;""</formula>
    </cfRule>
  </conditionalFormatting>
  <conditionalFormatting sqref="A7">
    <cfRule type="expression" dxfId="25" priority="6">
      <formula>A7&lt;&gt;""</formula>
    </cfRule>
  </conditionalFormatting>
  <conditionalFormatting sqref="A9">
    <cfRule type="expression" dxfId="24" priority="5">
      <formula>A9&lt;&gt;""</formula>
    </cfRule>
  </conditionalFormatting>
  <conditionalFormatting sqref="A11">
    <cfRule type="expression" dxfId="23" priority="4">
      <formula>A11&lt;&gt;""</formula>
    </cfRule>
  </conditionalFormatting>
  <conditionalFormatting sqref="A12">
    <cfRule type="expression" dxfId="22" priority="3">
      <formula>A12&lt;&gt;""</formula>
    </cfRule>
  </conditionalFormatting>
  <conditionalFormatting sqref="A14">
    <cfRule type="expression" dxfId="21" priority="2">
      <formula>A14&lt;&gt;""</formula>
    </cfRule>
  </conditionalFormatting>
  <conditionalFormatting sqref="A14">
    <cfRule type="expression" dxfId="20" priority="1">
      <formula>A14&lt;&gt;""</formula>
    </cfRule>
  </conditionalFormatting>
  <hyperlinks>
    <hyperlink ref="A10" location="PRPT01!A1" display="PRPT01!A1"/>
    <hyperlink ref="A13" location="PRPT01!A1" display="PRPT01!A1"/>
  </hyperlinks>
  <pageMargins left="0.39370078740157483" right="0.39370078740157483" top="0.59055118110236227" bottom="0.59055118110236227" header="0.31496062992125984" footer="0.31496062992125984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"/>
  <sheetViews>
    <sheetView topLeftCell="F1" zoomScale="70" zoomScaleNormal="70" workbookViewId="0">
      <pane ySplit="8" topLeftCell="A9" activePane="bottomLeft" state="frozen"/>
      <selection pane="bottomLeft" activeCell="H9" sqref="H9"/>
    </sheetView>
  </sheetViews>
  <sheetFormatPr defaultRowHeight="13.2" x14ac:dyDescent="0.2"/>
  <cols>
    <col min="1" max="1" width="11.21875" customWidth="1"/>
    <col min="2" max="2" width="8.6640625" customWidth="1"/>
    <col min="3" max="3" width="10.33203125" customWidth="1"/>
    <col min="4" max="4" width="25.109375" customWidth="1"/>
    <col min="5" max="5" width="42.77734375" customWidth="1"/>
    <col min="6" max="7" width="41.77734375" customWidth="1"/>
    <col min="8" max="8" width="42" customWidth="1"/>
    <col min="9" max="9" width="16.77734375" customWidth="1"/>
  </cols>
  <sheetData>
    <row r="1" spans="1:10" ht="26.4" x14ac:dyDescent="0.2">
      <c r="A1" s="29" t="s">
        <v>6</v>
      </c>
      <c r="B1" s="30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2">
      <c r="A2" s="31" t="s">
        <v>20</v>
      </c>
      <c r="B2" s="32"/>
      <c r="C2" s="35">
        <f>COUNTA($D$9:$D$65495)</f>
        <v>1</v>
      </c>
      <c r="D2" s="16" t="str">
        <f>大中項目!B1</f>
        <v>ASPR</v>
      </c>
      <c r="E2" s="15" t="s">
        <v>28</v>
      </c>
      <c r="F2" s="9"/>
      <c r="G2" s="9"/>
      <c r="H2" s="8"/>
    </row>
    <row r="3" spans="1:10" x14ac:dyDescent="0.2">
      <c r="A3" s="33"/>
      <c r="B3" s="34"/>
      <c r="C3" s="36"/>
      <c r="D3" s="16" t="str">
        <f>大中項目!B2</f>
        <v>非同期処理の実装</v>
      </c>
      <c r="E3" s="15" t="s">
        <v>29</v>
      </c>
      <c r="F3" s="9"/>
      <c r="G3" s="9"/>
      <c r="H3" s="9"/>
    </row>
    <row r="4" spans="1:10" x14ac:dyDescent="0.2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2">
      <c r="A5" s="37" t="s">
        <v>13</v>
      </c>
      <c r="B5" s="38"/>
      <c r="C5" s="38"/>
      <c r="D5" s="38"/>
      <c r="E5" s="38"/>
      <c r="F5" s="38"/>
      <c r="G5" s="38"/>
      <c r="H5" s="38"/>
      <c r="I5" s="39"/>
    </row>
    <row r="6" spans="1:10" ht="42" customHeight="1" x14ac:dyDescent="0.2">
      <c r="A6" s="40" t="s">
        <v>14</v>
      </c>
      <c r="B6" s="41"/>
      <c r="C6" s="41"/>
      <c r="D6" s="41"/>
      <c r="E6" s="41"/>
      <c r="F6" s="41"/>
      <c r="G6" s="41"/>
      <c r="H6" s="41"/>
      <c r="I6" s="42"/>
    </row>
    <row r="7" spans="1:10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10" ht="26.4" x14ac:dyDescent="0.2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10" ht="60" customHeight="1" x14ac:dyDescent="0.2">
      <c r="A9" s="28" t="s">
        <v>30</v>
      </c>
      <c r="B9" s="17">
        <f t="shared" ref="B9" ca="1" si="0">IF(A9&lt;&gt;"",1,INDIRECT(ADDRESS(ROW(B9)-1,COLUMN(B9),4))+1)</f>
        <v>1</v>
      </c>
      <c r="C9" s="12" t="s">
        <v>32</v>
      </c>
      <c r="D9" s="13" t="s">
        <v>33</v>
      </c>
      <c r="E9" s="13" t="s">
        <v>34</v>
      </c>
      <c r="F9" s="13" t="s">
        <v>43</v>
      </c>
      <c r="G9" s="13" t="s">
        <v>44</v>
      </c>
      <c r="H9" s="13" t="s">
        <v>35</v>
      </c>
      <c r="I9" s="14" t="s">
        <v>36</v>
      </c>
      <c r="J9" s="27"/>
    </row>
  </sheetData>
  <mergeCells count="5">
    <mergeCell ref="A1:B1"/>
    <mergeCell ref="A2:B3"/>
    <mergeCell ref="C2:C3"/>
    <mergeCell ref="A5:I5"/>
    <mergeCell ref="A6:I6"/>
  </mergeCells>
  <phoneticPr fontId="2"/>
  <conditionalFormatting sqref="B9">
    <cfRule type="expression" dxfId="19" priority="106">
      <formula>B9&lt;&gt;""</formula>
    </cfRule>
  </conditionalFormatting>
  <conditionalFormatting sqref="B9">
    <cfRule type="expression" dxfId="18" priority="34">
      <formula>B9&lt;&gt;""</formula>
    </cfRule>
  </conditionalFormatting>
  <conditionalFormatting sqref="B9">
    <cfRule type="expression" dxfId="17" priority="33">
      <formula>B9&lt;&gt;""</formula>
    </cfRule>
  </conditionalFormatting>
  <conditionalFormatting sqref="B9">
    <cfRule type="expression" dxfId="16" priority="32">
      <formula>B9&lt;&gt;""</formula>
    </cfRule>
  </conditionalFormatting>
  <conditionalFormatting sqref="B9">
    <cfRule type="expression" dxfId="15" priority="31">
      <formula>B9&lt;&gt;""</formula>
    </cfRule>
  </conditionalFormatting>
  <dataValidations count="2">
    <dataValidation type="list" allowBlank="1" showInputMessage="1" showErrorMessage="1" sqref="I9">
      <formula1>"Selenium:○,Seleniumu:△,Selenium:×,JUnit:○,JUnit:△,Junit:×,手動実行,机上"</formula1>
    </dataValidation>
    <dataValidation type="list" allowBlank="1" showInputMessage="1" showErrorMessage="1" sqref="C9">
      <formula1>"正常,クライアントエラー,サーバーエラー"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tabSelected="1" zoomScale="70" zoomScaleNormal="70" workbookViewId="0">
      <pane ySplit="8" topLeftCell="A9" activePane="bottomLeft" state="frozen"/>
      <selection pane="bottomLeft" activeCell="I10" sqref="I10"/>
    </sheetView>
  </sheetViews>
  <sheetFormatPr defaultRowHeight="13.2" x14ac:dyDescent="0.2"/>
  <cols>
    <col min="1" max="1" width="11.21875" customWidth="1"/>
    <col min="2" max="2" width="8.6640625" customWidth="1"/>
    <col min="3" max="3" width="10.33203125" customWidth="1"/>
    <col min="4" max="4" width="25.109375" customWidth="1"/>
    <col min="5" max="5" width="42.77734375" customWidth="1"/>
    <col min="6" max="7" width="41.77734375" customWidth="1"/>
    <col min="8" max="8" width="42" customWidth="1"/>
    <col min="9" max="9" width="16.77734375" customWidth="1"/>
  </cols>
  <sheetData>
    <row r="1" spans="1:10" ht="26.4" x14ac:dyDescent="0.2">
      <c r="A1" s="29" t="s">
        <v>6</v>
      </c>
      <c r="B1" s="30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2">
      <c r="A2" s="31" t="s">
        <v>20</v>
      </c>
      <c r="B2" s="32"/>
      <c r="C2" s="35">
        <f>COUNTA($D$12:$D$65497)</f>
        <v>0</v>
      </c>
      <c r="D2" s="16" t="str">
        <f>大中項目!B1</f>
        <v>ASPR</v>
      </c>
      <c r="E2" s="15" t="s">
        <v>38</v>
      </c>
      <c r="F2" s="9"/>
      <c r="G2" s="9"/>
      <c r="H2" s="8"/>
    </row>
    <row r="3" spans="1:10" x14ac:dyDescent="0.2">
      <c r="A3" s="33"/>
      <c r="B3" s="34"/>
      <c r="C3" s="36"/>
      <c r="D3" s="16" t="str">
        <f>大中項目!B2</f>
        <v>非同期処理の実装</v>
      </c>
      <c r="E3" s="15" t="s">
        <v>37</v>
      </c>
      <c r="F3" s="9"/>
      <c r="G3" s="9"/>
      <c r="H3" s="9"/>
    </row>
    <row r="4" spans="1:10" x14ac:dyDescent="0.2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2">
      <c r="A5" s="37" t="s">
        <v>13</v>
      </c>
      <c r="B5" s="38"/>
      <c r="C5" s="38"/>
      <c r="D5" s="38"/>
      <c r="E5" s="38"/>
      <c r="F5" s="38"/>
      <c r="G5" s="38"/>
      <c r="H5" s="38"/>
      <c r="I5" s="39"/>
    </row>
    <row r="6" spans="1:10" ht="42" customHeight="1" x14ac:dyDescent="0.2">
      <c r="A6" s="40" t="s">
        <v>14</v>
      </c>
      <c r="B6" s="41"/>
      <c r="C6" s="41"/>
      <c r="D6" s="41"/>
      <c r="E6" s="41"/>
      <c r="F6" s="41"/>
      <c r="G6" s="41"/>
      <c r="H6" s="41"/>
      <c r="I6" s="42"/>
    </row>
    <row r="7" spans="1:10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10" ht="26.4" x14ac:dyDescent="0.2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10" ht="145.19999999999999" customHeight="1" x14ac:dyDescent="0.2">
      <c r="A9" s="28" t="s">
        <v>39</v>
      </c>
      <c r="B9" s="17">
        <f t="shared" ref="B9:B10" ca="1" si="0">IF(A9&lt;&gt;"",1,INDIRECT(ADDRESS(ROW(B9)-1,COLUMN(B9),4))+1)</f>
        <v>1</v>
      </c>
      <c r="C9" s="12" t="s">
        <v>31</v>
      </c>
      <c r="D9" s="13" t="s">
        <v>50</v>
      </c>
      <c r="E9" s="13" t="s">
        <v>56</v>
      </c>
      <c r="F9" s="13" t="s">
        <v>47</v>
      </c>
      <c r="G9" s="13" t="s">
        <v>40</v>
      </c>
      <c r="H9" s="13" t="s">
        <v>48</v>
      </c>
      <c r="I9" s="14" t="s">
        <v>36</v>
      </c>
      <c r="J9" s="27"/>
    </row>
    <row r="10" spans="1:10" ht="145.19999999999999" customHeight="1" x14ac:dyDescent="0.2">
      <c r="A10" s="28" t="s">
        <v>49</v>
      </c>
      <c r="B10" s="17">
        <f t="shared" ca="1" si="0"/>
        <v>1</v>
      </c>
      <c r="C10" s="12" t="s">
        <v>31</v>
      </c>
      <c r="D10" s="13" t="s">
        <v>51</v>
      </c>
      <c r="E10" s="13" t="s">
        <v>57</v>
      </c>
      <c r="F10" s="13" t="s">
        <v>52</v>
      </c>
      <c r="G10" s="13" t="s">
        <v>53</v>
      </c>
      <c r="H10" s="13" t="s">
        <v>63</v>
      </c>
      <c r="I10" s="14" t="s">
        <v>62</v>
      </c>
      <c r="J10" s="27"/>
    </row>
    <row r="11" spans="1:10" ht="145.19999999999999" customHeight="1" x14ac:dyDescent="0.2">
      <c r="A11" s="28" t="s">
        <v>61</v>
      </c>
      <c r="B11" s="17">
        <f t="shared" ref="B11" ca="1" si="1">IF(A11&lt;&gt;"",1,INDIRECT(ADDRESS(ROW(B11)-1,COLUMN(B11),4))+1)</f>
        <v>1</v>
      </c>
      <c r="C11" s="12" t="s">
        <v>54</v>
      </c>
      <c r="D11" s="13" t="s">
        <v>55</v>
      </c>
      <c r="E11" s="13" t="s">
        <v>58</v>
      </c>
      <c r="F11" s="13" t="s">
        <v>59</v>
      </c>
      <c r="G11" s="13" t="s">
        <v>53</v>
      </c>
      <c r="H11" s="13" t="s">
        <v>60</v>
      </c>
      <c r="I11" s="14" t="s">
        <v>36</v>
      </c>
      <c r="J11" s="27"/>
    </row>
  </sheetData>
  <mergeCells count="5">
    <mergeCell ref="A1:B1"/>
    <mergeCell ref="A2:B3"/>
    <mergeCell ref="C2:C3"/>
    <mergeCell ref="A5:I5"/>
    <mergeCell ref="A6:I6"/>
  </mergeCells>
  <phoneticPr fontId="2"/>
  <conditionalFormatting sqref="B11">
    <cfRule type="expression" dxfId="14" priority="15">
      <formula>B11&lt;&gt;""</formula>
    </cfRule>
  </conditionalFormatting>
  <conditionalFormatting sqref="B11">
    <cfRule type="expression" dxfId="13" priority="14">
      <formula>B11&lt;&gt;""</formula>
    </cfRule>
  </conditionalFormatting>
  <conditionalFormatting sqref="B11">
    <cfRule type="expression" dxfId="12" priority="13">
      <formula>B11&lt;&gt;""</formula>
    </cfRule>
  </conditionalFormatting>
  <conditionalFormatting sqref="B11">
    <cfRule type="expression" dxfId="11" priority="12">
      <formula>B11&lt;&gt;""</formula>
    </cfRule>
  </conditionalFormatting>
  <conditionalFormatting sqref="B11">
    <cfRule type="expression" dxfId="10" priority="11">
      <formula>B11&lt;&gt;""</formula>
    </cfRule>
  </conditionalFormatting>
  <conditionalFormatting sqref="B9">
    <cfRule type="expression" dxfId="9" priority="10">
      <formula>B9&lt;&gt;""</formula>
    </cfRule>
  </conditionalFormatting>
  <conditionalFormatting sqref="B9">
    <cfRule type="expression" dxfId="8" priority="9">
      <formula>B9&lt;&gt;""</formula>
    </cfRule>
  </conditionalFormatting>
  <conditionalFormatting sqref="B9">
    <cfRule type="expression" dxfId="7" priority="8">
      <formula>B9&lt;&gt;""</formula>
    </cfRule>
  </conditionalFormatting>
  <conditionalFormatting sqref="B9">
    <cfRule type="expression" dxfId="6" priority="7">
      <formula>B9&lt;&gt;""</formula>
    </cfRule>
  </conditionalFormatting>
  <conditionalFormatting sqref="B9">
    <cfRule type="expression" dxfId="5" priority="6">
      <formula>B9&lt;&gt;""</formula>
    </cfRule>
  </conditionalFormatting>
  <conditionalFormatting sqref="B10">
    <cfRule type="expression" dxfId="4" priority="5">
      <formula>B10&lt;&gt;""</formula>
    </cfRule>
  </conditionalFormatting>
  <conditionalFormatting sqref="B10">
    <cfRule type="expression" dxfId="3" priority="4">
      <formula>B10&lt;&gt;""</formula>
    </cfRule>
  </conditionalFormatting>
  <conditionalFormatting sqref="B10">
    <cfRule type="expression" dxfId="2" priority="3">
      <formula>B10&lt;&gt;""</formula>
    </cfRule>
  </conditionalFormatting>
  <conditionalFormatting sqref="B10">
    <cfRule type="expression" dxfId="1" priority="2">
      <formula>B10&lt;&gt;""</formula>
    </cfRule>
  </conditionalFormatting>
  <conditionalFormatting sqref="B10">
    <cfRule type="expression" dxfId="0" priority="1">
      <formula>B10&lt;&gt;""</formula>
    </cfRule>
  </conditionalFormatting>
  <dataValidations count="2">
    <dataValidation type="list" allowBlank="1" showInputMessage="1" showErrorMessage="1" sqref="C9:C11">
      <formula1>"正常,クライアントエラー,サーバーエラー"</formula1>
    </dataValidation>
    <dataValidation type="list" allowBlank="1" showInputMessage="1" showErrorMessage="1" sqref="I9:I11">
      <formula1>"Selenium:○,Seleniumu:△,Selenium:×,JUnit:○,JUnit:△,Junit:×,手動実行,机上"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大中項目</vt:lpstr>
      <vt:lpstr>ASPR01</vt:lpstr>
      <vt:lpstr>ASPR02</vt:lpstr>
      <vt:lpstr>ASPR01!Print_Titles</vt:lpstr>
      <vt:lpstr>ASPR02!Print_Titles</vt:lpstr>
      <vt:lpstr>大中項目!Print_Titles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btishiwatasns</dc:creator>
  <cp:lastModifiedBy>terafwXXXX</cp:lastModifiedBy>
  <cp:lastPrinted>2013-11-12T01:02:24Z</cp:lastPrinted>
  <dcterms:created xsi:type="dcterms:W3CDTF">2013-11-07T11:05:46Z</dcterms:created>
  <dcterms:modified xsi:type="dcterms:W3CDTF">2017-11-06T18:24:03Z</dcterms:modified>
</cp:coreProperties>
</file>