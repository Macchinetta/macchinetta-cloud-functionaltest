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_yggd\macchinetta-cloud-functionaltest\docs\02_機能毎のテスト\"/>
    </mc:Choice>
  </mc:AlternateContent>
  <bookViews>
    <workbookView xWindow="1440" yWindow="3468" windowWidth="25020" windowHeight="8340" activeTab="1"/>
  </bookViews>
  <sheets>
    <sheet name="大中項目" sheetId="1" r:id="rId1"/>
    <sheet name="CAAP01" sheetId="6" r:id="rId2"/>
  </sheets>
  <definedNames>
    <definedName name="_xlnm.Print_Titles" localSheetId="1">CAAP01!$1:$8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D3" i="6" l="1"/>
  <c r="D2" i="6"/>
  <c r="A6" i="1"/>
  <c r="A5" i="1"/>
  <c r="B9" i="6"/>
  <c r="C5" i="1" l="1"/>
  <c r="B10" i="6"/>
  <c r="C6" i="1" l="1"/>
  <c r="B11" i="6"/>
  <c r="B12" i="6"/>
  <c r="C2" i="6" l="1"/>
  <c r="B13" i="6"/>
  <c r="B14" i="6"/>
  <c r="B15" i="6"/>
  <c r="B16" i="6"/>
  <c r="B17" i="6"/>
  <c r="B18" i="6"/>
  <c r="B19" i="6"/>
</calcChain>
</file>

<file path=xl/sharedStrings.xml><?xml version="1.0" encoding="utf-8"?>
<sst xmlns="http://schemas.openxmlformats.org/spreadsheetml/2006/main" count="47" uniqueCount="44">
  <si>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</si>
  <si>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</si>
  <si>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</si>
  <si>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</si>
  <si>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</si>
  <si>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</si>
  <si>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</si>
  <si>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</si>
  <si>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</si>
  <si>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</si>
  <si>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</si>
  <si>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</si>
  <si>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</si>
  <si>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</si>
  <si>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</si>
  <si>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</si>
  <si>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</si>
  <si>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</si>
  <si>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</si>
  <si>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</si>
  <si>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</si>
  <si>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</si>
  <si>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</si>
  <si>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</si>
  <si>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</si>
  <si>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CAAP0101</t>
    <phoneticPr fontId="2"/>
  </si>
  <si>
    <t>正常</t>
  </si>
  <si>
    <t>CAAP</t>
    <phoneticPr fontId="2"/>
  </si>
  <si>
    <t>AWS向け開発プロジェクトの作成</t>
    <phoneticPr fontId="2"/>
  </si>
  <si>
    <t>ガイドの表記に従い、AWS向け開発プロジェクトをブランク起動できること。</t>
    <rPh sb="4" eb="6">
      <t>ヒョウキ</t>
    </rPh>
    <rPh sb="7" eb="8">
      <t>シタガ</t>
    </rPh>
    <rPh sb="13" eb="14">
      <t>ム</t>
    </rPh>
    <rPh sb="15" eb="17">
      <t>カイハツ</t>
    </rPh>
    <rPh sb="28" eb="30">
      <t>キドウ</t>
    </rPh>
    <phoneticPr fontId="2"/>
  </si>
  <si>
    <t>ElastiCacheAutoConfigurationの無効化が作用していることを確認する。</t>
    <rPh sb="29" eb="32">
      <t>ムコウカ</t>
    </rPh>
    <rPh sb="33" eb="35">
      <t>サヨウ</t>
    </rPh>
    <rPh sb="42" eb="44">
      <t>カクニン</t>
    </rPh>
    <phoneticPr fontId="2"/>
  </si>
  <si>
    <t>ガイドの設定内容が適切であることを確認する。</t>
    <rPh sb="4" eb="6">
      <t>セッテイ</t>
    </rPh>
    <rPh sb="6" eb="8">
      <t>ナイヨウ</t>
    </rPh>
    <rPh sb="9" eb="11">
      <t>テキセツ</t>
    </rPh>
    <rPh sb="17" eb="19">
      <t>カクニン</t>
    </rPh>
    <phoneticPr fontId="2"/>
  </si>
  <si>
    <t>application.ymlにスタック自動検出の無効化を設定する。</t>
    <rPh sb="20" eb="24">
      <t>ジドウケンシュツ</t>
    </rPh>
    <rPh sb="25" eb="28">
      <t>ムコウカ</t>
    </rPh>
    <rPh sb="29" eb="31">
      <t>セッテイ</t>
    </rPh>
    <phoneticPr fontId="2"/>
  </si>
  <si>
    <t>cloud:
  aws:
    stack:
      auto: false</t>
    <phoneticPr fontId="2"/>
  </si>
  <si>
    <t>特になし。</t>
    <rPh sb="0" eb="1">
      <t>トク</t>
    </rPh>
    <phoneticPr fontId="2"/>
  </si>
  <si>
    <t>Selenium:○</t>
  </si>
  <si>
    <t>CAAP0102</t>
    <phoneticPr fontId="2"/>
  </si>
  <si>
    <t>EC2上のAP起動確認</t>
    <rPh sb="3" eb="4">
      <t>ジョウ</t>
    </rPh>
    <rPh sb="7" eb="9">
      <t>キドウ</t>
    </rPh>
    <rPh sb="9" eb="11">
      <t>カクニン</t>
    </rPh>
    <phoneticPr fontId="2"/>
  </si>
  <si>
    <t>ElastiCacheAutoConfigureの無効化確認</t>
    <rPh sb="25" eb="28">
      <t>ムコウカ</t>
    </rPh>
    <rPh sb="28" eb="30">
      <t>カクニン</t>
    </rPh>
    <phoneticPr fontId="2"/>
  </si>
  <si>
    <t>Bootstrapの@EnableAutoConfigurationで、ElastiCacheAutoConfiguration.classをAutoConfig無効化対象とする。</t>
    <rPh sb="81" eb="84">
      <t>ムコウカ</t>
    </rPh>
    <rPh sb="84" eb="86">
      <t>タイショウ</t>
    </rPh>
    <phoneticPr fontId="2"/>
  </si>
  <si>
    <t>・AutoConfigurationでBeanとして生成対象となるAmazonElastiCacheがクラスパスに存在する。
・ApplicationContext内にAmazonElastiCacheが登録されていないこと。</t>
    <rPh sb="26" eb="28">
      <t>セイセイ</t>
    </rPh>
    <rPh sb="28" eb="30">
      <t>タイショウ</t>
    </rPh>
    <rPh sb="57" eb="59">
      <t>ソンザイ</t>
    </rPh>
    <rPh sb="82" eb="83">
      <t>ナイ</t>
    </rPh>
    <rPh sb="102" eb="104">
      <t>トウロク</t>
    </rPh>
    <phoneticPr fontId="2"/>
  </si>
  <si>
    <t>ElastiCacheAutoConfigurationにより自動でDIコンテナ(ApplicationContext)内に生成されるAmazonElastiCacheの生成が抑止される。</t>
    <rPh sb="31" eb="33">
      <t>ジドウ</t>
    </rPh>
    <rPh sb="60" eb="61">
      <t>ナイ</t>
    </rPh>
    <rPh sb="62" eb="64">
      <t>セイセイ</t>
    </rPh>
    <rPh sb="85" eb="87">
      <t>セイセイ</t>
    </rPh>
    <rPh sb="88" eb="90">
      <t>ヨクシ</t>
    </rPh>
    <phoneticPr fontId="2"/>
  </si>
  <si>
    <t>ElastiCacheAutoConfigurationによるAmazonElastiCacheの生成はこのFQCNがクラスパスに存在することが条件である。(@ConditionalOnXxxによる)
このため、クラスパス上にAmazonElastiCacheが存在しているにもかかわらず、DIコンテナ上に登録されていないことをもって、AutoConfig無効化の確認とする。</t>
    <rPh sb="49" eb="51">
      <t>セイセイ</t>
    </rPh>
    <rPh sb="65" eb="67">
      <t>ソンザイ</t>
    </rPh>
    <rPh sb="72" eb="74">
      <t>ジョウケン</t>
    </rPh>
    <rPh sb="111" eb="112">
      <t>ジョウ</t>
    </rPh>
    <rPh sb="131" eb="133">
      <t>ソンザイ</t>
    </rPh>
    <rPh sb="151" eb="152">
      <t>ジョウ</t>
    </rPh>
    <rPh sb="153" eb="155">
      <t>トウロク</t>
    </rPh>
    <rPh sb="178" eb="181">
      <t>ムコウカ</t>
    </rPh>
    <rPh sb="182" eb="184">
      <t>カクニン</t>
    </rPh>
    <phoneticPr fontId="2"/>
  </si>
  <si>
    <t>正常起動が可能であること。
AP起動確認はElastiCacheAutoConfiguration無効化と同一。</t>
    <rPh sb="0" eb="4">
      <t>セイジョウキドウ</t>
    </rPh>
    <rPh sb="5" eb="7">
      <t>カノウ</t>
    </rPh>
    <rPh sb="16" eb="18">
      <t>キドウ</t>
    </rPh>
    <rPh sb="18" eb="20">
      <t>カクニン</t>
    </rPh>
    <rPh sb="49" eb="52">
      <t>ムコウカ</t>
    </rPh>
    <rPh sb="53" eb="55">
      <t>ドウイツ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</si>
</sst>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  <xf numFmtId="0" fontId="0" fillId="4" borderId="12" xfId="0" applyFill="1" applyBorder="1" applyAlignment="1">
      <alignment horizontal="center" vertical="top"/>
    </xf>
  </cellXfs>
  <cellStyles count="3">
    <cellStyle name="ハイパーリンク" xfId="1" builtinId="8"/>
    <cellStyle name="標準" xfId="0" builtinId="0"/>
    <cellStyle name="標準 2" xfId="2"/>
  </cellStyles>
  <dxfs count="39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zoomScale="80" zoomScaleNormal="80" workbookViewId="0">
      <pane ySplit="4" topLeftCell="A5" activePane="bottomLeft" state="frozen"/>
      <selection pane="bottomLeft" activeCell="C21" sqref="C21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27</v>
      </c>
      <c r="C1" s="27" t="s">
        <v>24</v>
      </c>
    </row>
    <row r="2" spans="1:4" x14ac:dyDescent="0.2">
      <c r="A2" s="3" t="s">
        <v>1</v>
      </c>
      <c r="B2" s="2" t="s">
        <v>28</v>
      </c>
      <c r="C2" s="2"/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ht="30.6" customHeight="1" x14ac:dyDescent="0.2">
      <c r="A5" s="43" t="str">
        <f>IF(B5="","",($B$1&amp;TEXT(IF(B5="","",COUNTA($B$5:B5)),"00")))</f>
        <v>CAAP01</v>
      </c>
      <c r="B5" s="23" t="s">
        <v>29</v>
      </c>
      <c r="C5" s="26" t="str">
        <f>IF(B5="",($B$1&amp;TEXT(IF(B5="",COUNTA($B$5:B5),1),"00")),A5)&amp;IF(B5&lt;&gt;"",TEXT(1,"00"),TEXT(IF(A5&lt;&gt;"",1,RIGHT(C4,2)+1),"00"))</f>
        <v>CAAP0101</v>
      </c>
      <c r="D5" s="5" t="s">
        <v>31</v>
      </c>
    </row>
    <row r="6" spans="1:4" x14ac:dyDescent="0.2">
      <c r="A6" s="25" t="str">
        <f>IF(B6="","",($B$1&amp;TEXT(IF(B6="","",COUNTA($B$5:B6)),"00")))</f>
        <v/>
      </c>
      <c r="B6" s="24"/>
      <c r="C6" s="26" t="str">
        <f>IF(B6="",($B$1&amp;TEXT(IF(B6="",COUNTA($B$5:B6),1),"00")),A6)&amp;IF(B6&lt;&gt;"",TEXT(1,"00"),TEXT(IF(A6&lt;&gt;"",1,RIGHT(C5,2)+1),"00"))</f>
        <v>CAAP0102</v>
      </c>
      <c r="D6" s="5" t="s">
        <v>30</v>
      </c>
    </row>
  </sheetData>
  <phoneticPr fontId="2"/>
  <conditionalFormatting sqref="B5">
    <cfRule type="expression" dxfId="38" priority="40">
      <formula>B5&lt;&gt;""</formula>
    </cfRule>
  </conditionalFormatting>
  <conditionalFormatting sqref="B6">
    <cfRule type="expression" dxfId="37" priority="39">
      <formula>B6&lt;&gt;""</formula>
    </cfRule>
  </conditionalFormatting>
  <conditionalFormatting sqref="A5">
    <cfRule type="expression" dxfId="36" priority="30">
      <formula>A5&lt;&gt;""</formula>
    </cfRule>
  </conditionalFormatting>
  <conditionalFormatting sqref="A6">
    <cfRule type="expression" dxfId="35" priority="15">
      <formula>A6&lt;&gt;""</formula>
    </cfRule>
  </conditionalFormatting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70" zoomScaleNormal="70" workbookViewId="0">
      <pane ySplit="8" topLeftCell="A9" activePane="bottomLeft" state="frozen"/>
      <selection pane="bottomLeft" activeCell="H10" sqref="H10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29" t="s">
        <v>6</v>
      </c>
      <c r="B1" s="30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1" t="s">
        <v>20</v>
      </c>
      <c r="B2" s="32"/>
      <c r="C2" s="35">
        <f>COUNTA($D$9:$D$65505)</f>
        <v>2</v>
      </c>
      <c r="D2" s="21" t="str">
        <f>大中項目!B1</f>
        <v>CAAP</v>
      </c>
      <c r="E2" s="19"/>
      <c r="F2" s="9"/>
      <c r="G2" s="9"/>
      <c r="H2" s="8"/>
    </row>
    <row r="3" spans="1:10" x14ac:dyDescent="0.2">
      <c r="A3" s="33"/>
      <c r="B3" s="34"/>
      <c r="C3" s="36"/>
      <c r="D3" s="21" t="str">
        <f>大中項目!B2</f>
        <v>AWS向け開発プロジェクトの作成</v>
      </c>
      <c r="E3" s="19"/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37" t="s">
        <v>13</v>
      </c>
      <c r="B5" s="38"/>
      <c r="C5" s="38"/>
      <c r="D5" s="38"/>
      <c r="E5" s="38"/>
      <c r="F5" s="38"/>
      <c r="G5" s="38"/>
      <c r="H5" s="38"/>
      <c r="I5" s="39"/>
    </row>
    <row r="6" spans="1:10" ht="42" customHeight="1" x14ac:dyDescent="0.2">
      <c r="A6" s="40" t="s">
        <v>14</v>
      </c>
      <c r="B6" s="41"/>
      <c r="C6" s="41"/>
      <c r="D6" s="41"/>
      <c r="E6" s="41"/>
      <c r="F6" s="41"/>
      <c r="G6" s="41"/>
      <c r="H6" s="41"/>
      <c r="I6" s="42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52.8" x14ac:dyDescent="0.2">
      <c r="A9" s="12" t="s">
        <v>25</v>
      </c>
      <c r="B9" s="20">
        <f t="shared" ref="B9:B19" ca="1" si="0">IF(A9&lt;&gt;"",1,INDIRECT(ADDRESS(ROW(B9)-1,COLUMN(B9),4))+1)</f>
        <v>1</v>
      </c>
      <c r="C9" s="13" t="s">
        <v>26</v>
      </c>
      <c r="D9" s="14" t="s">
        <v>37</v>
      </c>
      <c r="E9" s="14" t="s">
        <v>32</v>
      </c>
      <c r="F9" s="14" t="s">
        <v>33</v>
      </c>
      <c r="G9" s="14" t="s">
        <v>34</v>
      </c>
      <c r="H9" s="14" t="s">
        <v>43</v>
      </c>
      <c r="I9" s="15" t="s">
        <v>35</v>
      </c>
      <c r="J9" s="28"/>
    </row>
    <row r="10" spans="1:10" ht="106.2" customHeight="1" x14ac:dyDescent="0.2">
      <c r="A10" s="16" t="s">
        <v>36</v>
      </c>
      <c r="B10" s="20">
        <f t="shared" ca="1" si="0"/>
        <v>1</v>
      </c>
      <c r="C10" s="13" t="s">
        <v>26</v>
      </c>
      <c r="D10" s="17" t="s">
        <v>38</v>
      </c>
      <c r="E10" s="17" t="s">
        <v>39</v>
      </c>
      <c r="F10" s="17" t="s">
        <v>41</v>
      </c>
      <c r="G10" s="17" t="s">
        <v>42</v>
      </c>
      <c r="H10" s="17" t="s">
        <v>40</v>
      </c>
      <c r="I10" s="15" t="s">
        <v>35</v>
      </c>
      <c r="J10" s="28"/>
    </row>
    <row r="11" spans="1:10" x14ac:dyDescent="0.2">
      <c r="A11" s="16"/>
      <c r="B11" s="20">
        <f t="shared" ca="1" si="0"/>
        <v>2</v>
      </c>
      <c r="C11" s="13"/>
      <c r="D11" s="17"/>
      <c r="E11" s="17"/>
      <c r="F11" s="17"/>
      <c r="G11" s="17"/>
      <c r="H11" s="17"/>
      <c r="I11" s="15"/>
      <c r="J11" s="28"/>
    </row>
    <row r="12" spans="1:10" x14ac:dyDescent="0.2">
      <c r="A12" s="16"/>
      <c r="B12" s="20">
        <f t="shared" ca="1" si="0"/>
        <v>3</v>
      </c>
      <c r="C12" s="13"/>
      <c r="D12" s="17"/>
      <c r="E12" s="17"/>
      <c r="F12" s="17"/>
      <c r="G12" s="17"/>
      <c r="H12" s="17"/>
      <c r="I12" s="15"/>
      <c r="J12" s="28"/>
    </row>
    <row r="13" spans="1:10" x14ac:dyDescent="0.2">
      <c r="A13" s="16"/>
      <c r="B13" s="20">
        <f t="shared" ca="1" si="0"/>
        <v>4</v>
      </c>
      <c r="C13" s="13"/>
      <c r="D13" s="17"/>
      <c r="E13" s="17"/>
      <c r="F13" s="17"/>
      <c r="G13" s="17"/>
      <c r="H13" s="17"/>
      <c r="I13" s="15"/>
      <c r="J13" s="28"/>
    </row>
    <row r="14" spans="1:10" x14ac:dyDescent="0.2">
      <c r="A14" s="16"/>
      <c r="B14" s="20">
        <f t="shared" ca="1" si="0"/>
        <v>5</v>
      </c>
      <c r="C14" s="13"/>
      <c r="D14" s="17"/>
      <c r="E14" s="17"/>
      <c r="F14" s="17"/>
      <c r="G14" s="17"/>
      <c r="H14" s="17"/>
      <c r="I14" s="15"/>
      <c r="J14" s="28"/>
    </row>
    <row r="15" spans="1:10" x14ac:dyDescent="0.2">
      <c r="A15" s="16"/>
      <c r="B15" s="20">
        <f t="shared" ca="1" si="0"/>
        <v>6</v>
      </c>
      <c r="C15" s="13"/>
      <c r="D15" s="17"/>
      <c r="E15" s="17"/>
      <c r="F15" s="17"/>
      <c r="G15" s="17"/>
      <c r="H15" s="17"/>
      <c r="I15" s="15"/>
      <c r="J15" s="28"/>
    </row>
    <row r="16" spans="1:10" x14ac:dyDescent="0.2">
      <c r="A16" s="16"/>
      <c r="B16" s="20">
        <f t="shared" ca="1" si="0"/>
        <v>7</v>
      </c>
      <c r="C16" s="13"/>
      <c r="D16" s="17"/>
      <c r="E16" s="17"/>
      <c r="F16" s="17"/>
      <c r="G16" s="17"/>
      <c r="H16" s="17"/>
      <c r="I16" s="15"/>
      <c r="J16" s="28"/>
    </row>
    <row r="17" spans="1:10" x14ac:dyDescent="0.2">
      <c r="A17" s="16"/>
      <c r="B17" s="20">
        <f t="shared" ca="1" si="0"/>
        <v>8</v>
      </c>
      <c r="C17" s="13"/>
      <c r="D17" s="17"/>
      <c r="E17" s="17"/>
      <c r="F17" s="17"/>
      <c r="G17" s="17"/>
      <c r="H17" s="17"/>
      <c r="I17" s="15"/>
      <c r="J17" s="28"/>
    </row>
    <row r="18" spans="1:10" x14ac:dyDescent="0.2">
      <c r="A18" s="16"/>
      <c r="B18" s="20">
        <f t="shared" ca="1" si="0"/>
        <v>9</v>
      </c>
      <c r="C18" s="13"/>
      <c r="D18" s="17"/>
      <c r="E18" s="17"/>
      <c r="F18" s="17"/>
      <c r="G18" s="17"/>
      <c r="H18" s="17"/>
      <c r="I18" s="15"/>
      <c r="J18" s="28"/>
    </row>
    <row r="19" spans="1:10" x14ac:dyDescent="0.2">
      <c r="A19" s="18"/>
      <c r="B19" s="22">
        <f t="shared" ca="1" si="0"/>
        <v>10</v>
      </c>
      <c r="C19" s="13"/>
      <c r="D19" s="17"/>
      <c r="E19" s="17"/>
      <c r="F19" s="17"/>
      <c r="G19" s="17"/>
      <c r="H19" s="17"/>
      <c r="I19" s="15"/>
      <c r="J19" s="28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106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CAAP01</vt:lpstr>
      <vt:lpstr>CAAP01!Print_Titles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2017-11-21T12:40:30Z</dcterms:modified>
</cp:coreProperties>
</file>