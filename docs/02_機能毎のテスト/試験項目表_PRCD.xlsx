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erafwXXXX\Documents\macchinetta-cloud-functionaltest\docs\02_機能毎のテスト\"/>
    </mc:Choice>
  </mc:AlternateContent>
  <bookViews>
    <workbookView xWindow="1440" yWindow="3468" windowWidth="25020" windowHeight="8340" activeTab="1"/>
  </bookViews>
  <sheets>
    <sheet name="大中項目" sheetId="1" r:id="rId1"/>
    <sheet name="PRCD01" sheetId="6" r:id="rId2"/>
  </sheets>
  <definedNames>
    <definedName name="_xlnm.Print_Titles" localSheetId="1">PRCD01!$1:$8</definedName>
    <definedName name="_xlnm.Print_Titles" localSheetId="0">大中項目!$1:$4</definedName>
  </definedNames>
  <calcPr calcId="152511"/>
</workbook>
</file>

<file path=xl/calcChain.xml><?xml version="1.0" encoding="utf-8"?>
<calcChain xmlns="http://schemas.openxmlformats.org/spreadsheetml/2006/main">
  <c r="C2" i="1" l="1"/>
  <c r="E3" i="6"/>
  <c r="D3" i="6" l="1"/>
  <c r="D2" i="6"/>
  <c r="A14" i="1"/>
  <c r="A12" i="1"/>
  <c r="A11" i="1"/>
  <c r="A9" i="1"/>
  <c r="A7" i="1"/>
  <c r="A13" i="1"/>
  <c r="A10" i="1"/>
  <c r="A8" i="1"/>
  <c r="A6" i="1"/>
  <c r="A5" i="1"/>
  <c r="E2" i="6" s="1"/>
  <c r="C5" i="1" l="1"/>
  <c r="A9" i="6" s="1"/>
  <c r="B9" i="6" s="1"/>
  <c r="B10" i="6"/>
  <c r="C6" i="1" l="1"/>
  <c r="B11" i="6"/>
  <c r="C7" i="1" l="1"/>
  <c r="B12" i="6"/>
  <c r="C8" i="1" l="1"/>
  <c r="C2" i="6"/>
  <c r="B13" i="6"/>
  <c r="C9" i="1" l="1"/>
  <c r="B14" i="6"/>
  <c r="C10" i="1" l="1"/>
  <c r="B15" i="6"/>
  <c r="C11" i="1" l="1"/>
  <c r="B16" i="6"/>
  <c r="C12" i="1" l="1"/>
  <c r="B17" i="6"/>
  <c r="C13" i="1" l="1"/>
  <c r="B18" i="6"/>
  <c r="C14" i="1" l="1"/>
  <c r="B19" i="6"/>
</calcChain>
</file>

<file path=xl/sharedStrings.xml><?xml version="1.0" encoding="utf-8"?>
<sst xmlns="http://schemas.openxmlformats.org/spreadsheetml/2006/main" count="86" uniqueCount="62">
  <si>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</si>
  <si>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</si>
  <si>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</si>
  <si>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</si>
  <si>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</si>
  <si>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</si>
  <si>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</si>
  <si>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</si>
  <si>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</si>
  <si>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</si>
  <si>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</si>
  <si>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</si>
  <si>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</si>
  <si>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</si>
  <si>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</si>
  <si>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</si>
  <si>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</si>
  <si>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</si>
  <si>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</si>
  <si>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</si>
  <si>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</si>
  <si>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</si>
  <si>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</si>
  <si>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</si>
  <si>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総件数</t>
    <rPh sb="0" eb="3">
      <t>ソウケンスウ</t>
    </rPh>
    <phoneticPr fontId="2"/>
  </si>
  <si>
    <t>PRCD</t>
    <phoneticPr fontId="2"/>
  </si>
  <si>
    <t>CDNを用いたプライベート配信</t>
    <phoneticPr fontId="2"/>
  </si>
  <si>
    <t>アクセス制限</t>
    <rPh sb="4" eb="6">
      <t>セイゲン</t>
    </rPh>
    <phoneticPr fontId="2"/>
  </si>
  <si>
    <t>署名による制限(Cookie)</t>
    <phoneticPr fontId="2"/>
  </si>
  <si>
    <t>正常</t>
  </si>
  <si>
    <t>Selenium:○</t>
  </si>
  <si>
    <t>アクセス制限が設定されているCloudFront上のファイルにアクセスできないことを確認する</t>
    <rPh sb="4" eb="6">
      <t>セイゲン</t>
    </rPh>
    <rPh sb="7" eb="9">
      <t>セッテイ</t>
    </rPh>
    <rPh sb="24" eb="25">
      <t>ジョウ</t>
    </rPh>
    <rPh sb="42" eb="44">
      <t>カクニン</t>
    </rPh>
    <phoneticPr fontId="2"/>
  </si>
  <si>
    <t>・ディストリビューションのアクセス制限が適切に行われ、CloudFront上のファイルにアクセスできないこと
・プライベートキー、キーペアIDが有効であること</t>
    <rPh sb="17" eb="19">
      <t>セイゲン</t>
    </rPh>
    <rPh sb="20" eb="22">
      <t>テキセツ</t>
    </rPh>
    <rPh sb="23" eb="24">
      <t>オコナ</t>
    </rPh>
    <rPh sb="37" eb="38">
      <t>ジョウ</t>
    </rPh>
    <rPh sb="72" eb="74">
      <t>ユウコウ</t>
    </rPh>
    <phoneticPr fontId="2"/>
  </si>
  <si>
    <t>・CloudFront上のファイルにアクセスできないこと</t>
    <rPh sb="11" eb="12">
      <t>ジョウ</t>
    </rPh>
    <phoneticPr fontId="2"/>
  </si>
  <si>
    <t>署名付きCookieを利用して、アクセス制限が設定されているCloudFront上のファイルにアクセスできることを確認する</t>
    <rPh sb="0" eb="3">
      <t>ショメイツ</t>
    </rPh>
    <rPh sb="11" eb="13">
      <t>リヨウ</t>
    </rPh>
    <rPh sb="40" eb="41">
      <t>ジョウ</t>
    </rPh>
    <rPh sb="57" eb="59">
      <t>カクニン</t>
    </rPh>
    <phoneticPr fontId="2"/>
  </si>
  <si>
    <t>署名付きCookieの有効期限きれで、アクセス制限が設定されているCloudFront上のファイルにアクセスできないことを確認する</t>
    <rPh sb="0" eb="2">
      <t>ショメイ</t>
    </rPh>
    <rPh sb="2" eb="3">
      <t>ツ</t>
    </rPh>
    <rPh sb="11" eb="13">
      <t>ユウコウ</t>
    </rPh>
    <rPh sb="13" eb="15">
      <t>キゲン</t>
    </rPh>
    <phoneticPr fontId="2"/>
  </si>
  <si>
    <t>・有効期限ぎれのため、CloudFront上のファイルにアクセスできないこと</t>
    <rPh sb="1" eb="3">
      <t>ユウコウ</t>
    </rPh>
    <rPh sb="3" eb="5">
      <t>キゲン</t>
    </rPh>
    <rPh sb="21" eb="22">
      <t>ジョウ</t>
    </rPh>
    <phoneticPr fontId="2"/>
  </si>
  <si>
    <t>著名付Cookieが発行されないユーザでログインする。</t>
    <rPh sb="0" eb="2">
      <t>チョメイ</t>
    </rPh>
    <rPh sb="2" eb="3">
      <t>ツキ</t>
    </rPh>
    <rPh sb="10" eb="12">
      <t>ハッコウ</t>
    </rPh>
    <phoneticPr fontId="2"/>
  </si>
  <si>
    <t>署名付きCookieを利用して、アクセス制限が設定されているCloudFront上のファイルに、ポリシーで指定したリソースの範囲外にあるファイルにアクセスできないことを確認する。</t>
    <rPh sb="53" eb="55">
      <t>シテイ</t>
    </rPh>
    <rPh sb="62" eb="64">
      <t>ハンイ</t>
    </rPh>
    <rPh sb="64" eb="65">
      <t>ガイ</t>
    </rPh>
    <phoneticPr fontId="2"/>
  </si>
  <si>
    <t>著名付Cookieが発行されるユーザでログインする。
・カスタムポリシーを使用した署名付Cookieを作成しCloudFront上のファイルにアクセスできるようにする</t>
    <phoneticPr fontId="2"/>
  </si>
  <si>
    <t xml:space="preserve">・ディストリビューションのアクセス制限が適切に行われ、CloudFront上のファイルにアクセスできないこと
・プライベートキー、キーペアIDが有効であること
</t>
    <rPh sb="17" eb="19">
      <t>セイゲン</t>
    </rPh>
    <rPh sb="20" eb="22">
      <t>テキセツ</t>
    </rPh>
    <rPh sb="23" eb="24">
      <t>オコナ</t>
    </rPh>
    <rPh sb="37" eb="38">
      <t>ジョウ</t>
    </rPh>
    <rPh sb="72" eb="74">
      <t>ユウコウ</t>
    </rPh>
    <phoneticPr fontId="2"/>
  </si>
  <si>
    <t>著名付Cookieが発行されるユーザでログインする。
・カスタムポリシーを使用した署名付Cookieを作成しCloudFront上のファイルにアクセスできるようにする。
・テスト対象とするファイルはポリシーのリソース指定範囲外にあるファイルにアクセスする。</t>
    <rPh sb="89" eb="91">
      <t>タイショウ</t>
    </rPh>
    <rPh sb="108" eb="110">
      <t>シテイ</t>
    </rPh>
    <phoneticPr fontId="2"/>
  </si>
  <si>
    <t>・カスタムポリシーを使用した署名付Cookieを作成しCloudFront上のファイルにアクセスできるようにする
・著名付Cookieが発行されるユーザでログインする。
・一度ログアウトする。
・著名付Cookieが発行されないユーザでログインする。</t>
    <rPh sb="86" eb="88">
      <t>イチド</t>
    </rPh>
    <phoneticPr fontId="2"/>
  </si>
  <si>
    <t>署名付Cookieが発行されるユーザでログインする。
・カスタムポリシーを使用した署名付Cookieを作成しCloudFront上のファイルにアクセスできるようにする</t>
    <rPh sb="0" eb="2">
      <t>ショメイ</t>
    </rPh>
    <rPh sb="2" eb="3">
      <t>ツキ</t>
    </rPh>
    <rPh sb="10" eb="12">
      <t>ハッコウ</t>
    </rPh>
    <phoneticPr fontId="2"/>
  </si>
  <si>
    <t>・署名付Cookieがログアウトで消されたことに因って、署名付Cookieを発行できないユーザで　で再度ログインした際に、CloudFront上のファイルにアクセスできないことを確認する。</t>
    <rPh sb="1" eb="3">
      <t>ショメイ</t>
    </rPh>
    <rPh sb="3" eb="4">
      <t>ツキ</t>
    </rPh>
    <rPh sb="17" eb="18">
      <t>ケ</t>
    </rPh>
    <rPh sb="24" eb="25">
      <t>ヨ</t>
    </rPh>
    <rPh sb="28" eb="30">
      <t>ショメイ</t>
    </rPh>
    <rPh sb="30" eb="31">
      <t>ツキ</t>
    </rPh>
    <rPh sb="38" eb="40">
      <t>ハッコウ</t>
    </rPh>
    <rPh sb="50" eb="52">
      <t>サイド</t>
    </rPh>
    <rPh sb="58" eb="59">
      <t>サイ</t>
    </rPh>
    <rPh sb="71" eb="72">
      <t>ジョウ</t>
    </rPh>
    <rPh sb="89" eb="91">
      <t>カクニン</t>
    </rPh>
    <phoneticPr fontId="2"/>
  </si>
  <si>
    <t>署名付Cookieがログアウトして正常に削除されたことを確認するために署名付Cookie発行可能ユーザでログインして、ログアウト後に著名付Cookieが発行できないユーザで再度ログインして、ファイルにアクセスできないことを確認する。</t>
    <rPh sb="0" eb="2">
      <t>ショメイ</t>
    </rPh>
    <rPh sb="2" eb="3">
      <t>ツキ</t>
    </rPh>
    <rPh sb="17" eb="19">
      <t>セイジョウ</t>
    </rPh>
    <rPh sb="20" eb="22">
      <t>サクジョ</t>
    </rPh>
    <rPh sb="28" eb="30">
      <t>カクニン</t>
    </rPh>
    <rPh sb="35" eb="37">
      <t>ショメイ</t>
    </rPh>
    <rPh sb="37" eb="38">
      <t>ツキ</t>
    </rPh>
    <rPh sb="44" eb="46">
      <t>ハッコウ</t>
    </rPh>
    <rPh sb="46" eb="48">
      <t>カノウ</t>
    </rPh>
    <rPh sb="64" eb="65">
      <t>ゴ</t>
    </rPh>
    <rPh sb="66" eb="68">
      <t>チョメイ</t>
    </rPh>
    <rPh sb="68" eb="69">
      <t>ツキ</t>
    </rPh>
    <rPh sb="76" eb="78">
      <t>ハッコウ</t>
    </rPh>
    <rPh sb="86" eb="88">
      <t>サイド</t>
    </rPh>
    <rPh sb="111" eb="113">
      <t>カクニン</t>
    </rPh>
    <phoneticPr fontId="2"/>
  </si>
  <si>
    <t>署名付Cookie削除がログアウトしないで再ログインした場合でも正常に削除されたことを確認するために署名付Cookie発行可能ユーザでログインして、ログアウトしないまま、著名付Cookieが発行できないユーザで再度ログインして、ファイルにアクセスできないことを確認する。</t>
    <rPh sb="0" eb="2">
      <t>ショメイ</t>
    </rPh>
    <rPh sb="2" eb="3">
      <t>ツキ</t>
    </rPh>
    <rPh sb="9" eb="11">
      <t>サクジョ</t>
    </rPh>
    <rPh sb="21" eb="22">
      <t>サイ</t>
    </rPh>
    <rPh sb="28" eb="30">
      <t>バアイ</t>
    </rPh>
    <rPh sb="32" eb="34">
      <t>セイジョウ</t>
    </rPh>
    <rPh sb="35" eb="37">
      <t>サクジョ</t>
    </rPh>
    <rPh sb="43" eb="45">
      <t>カクニン</t>
    </rPh>
    <rPh sb="50" eb="52">
      <t>ショメイ</t>
    </rPh>
    <rPh sb="52" eb="53">
      <t>ツキ</t>
    </rPh>
    <rPh sb="59" eb="61">
      <t>ハッコウ</t>
    </rPh>
    <rPh sb="61" eb="63">
      <t>カノウ</t>
    </rPh>
    <rPh sb="85" eb="87">
      <t>チョメイ</t>
    </rPh>
    <rPh sb="87" eb="88">
      <t>ツキ</t>
    </rPh>
    <rPh sb="95" eb="97">
      <t>ハッコウ</t>
    </rPh>
    <rPh sb="105" eb="107">
      <t>サイド</t>
    </rPh>
    <rPh sb="130" eb="132">
      <t>カクニン</t>
    </rPh>
    <phoneticPr fontId="2"/>
  </si>
  <si>
    <t>・カスタムポリシーを使用した署名付Cookieを作成しCloudFront上のファイルにアクセスできるようにする
・著名付Cookieが発行されるユーザでログインする。
・ログアウトなしで署名付Cookie未保持でログインする。</t>
    <phoneticPr fontId="2"/>
  </si>
  <si>
    <t>無償会員・署名付Cookie未保持</t>
    <rPh sb="0" eb="2">
      <t>ムショウ</t>
    </rPh>
    <rPh sb="2" eb="4">
      <t>カイイン</t>
    </rPh>
    <rPh sb="5" eb="7">
      <t>ショメイ</t>
    </rPh>
    <rPh sb="7" eb="8">
      <t>ツキ</t>
    </rPh>
    <rPh sb="14" eb="15">
      <t>ミ</t>
    </rPh>
    <rPh sb="15" eb="17">
      <t>ホジ</t>
    </rPh>
    <phoneticPr fontId="2"/>
  </si>
  <si>
    <t>有償会員・署名付Cookie保持</t>
    <rPh sb="0" eb="2">
      <t>ユウショウ</t>
    </rPh>
    <rPh sb="2" eb="4">
      <t>カイイン</t>
    </rPh>
    <rPh sb="5" eb="7">
      <t>ショメイ</t>
    </rPh>
    <rPh sb="7" eb="8">
      <t>ツキ</t>
    </rPh>
    <rPh sb="14" eb="16">
      <t>ホジ</t>
    </rPh>
    <phoneticPr fontId="2"/>
  </si>
  <si>
    <t>有償会員・署名付Cookie保持＆ポリシーで指定した有効期限切れ</t>
    <rPh sb="5" eb="7">
      <t>ショメイ</t>
    </rPh>
    <rPh sb="7" eb="8">
      <t>ツキ</t>
    </rPh>
    <rPh sb="14" eb="16">
      <t>ホジ</t>
    </rPh>
    <rPh sb="22" eb="24">
      <t>シテイ</t>
    </rPh>
    <rPh sb="26" eb="28">
      <t>ユウコウ</t>
    </rPh>
    <rPh sb="28" eb="30">
      <t>キゲン</t>
    </rPh>
    <rPh sb="30" eb="31">
      <t>ギ</t>
    </rPh>
    <phoneticPr fontId="2"/>
  </si>
  <si>
    <t>有償会員・署名付Cookie保持</t>
    <rPh sb="5" eb="7">
      <t>ショメイ</t>
    </rPh>
    <rPh sb="7" eb="8">
      <t>ツキ</t>
    </rPh>
    <rPh sb="14" eb="16">
      <t>ホジ</t>
    </rPh>
    <phoneticPr fontId="2"/>
  </si>
  <si>
    <t>有償会員・署名付Cookie保持でログイン
ログアウト
無償会員・署名付Cookie未保持でログイン</t>
    <rPh sb="28" eb="30">
      <t>ムショウ</t>
    </rPh>
    <rPh sb="30" eb="32">
      <t>カイイン</t>
    </rPh>
    <phoneticPr fontId="2"/>
  </si>
  <si>
    <t>有償会員・署名付Cookie保持でログイン
ログアウトなしで無償会員・署名付Cookie未保持でログイン</t>
    <rPh sb="30" eb="32">
      <t>ムショウ</t>
    </rPh>
    <rPh sb="32" eb="34">
      <t>カイイン</t>
    </rPh>
    <phoneticPr fontId="2"/>
  </si>
  <si>
    <t>・カスタムポリシーで指定したリソース指定範囲外のファイルにアクセスできないこと</t>
    <rPh sb="10" eb="12">
      <t>シテイ</t>
    </rPh>
    <rPh sb="18" eb="20">
      <t>シテイ</t>
    </rPh>
    <rPh sb="20" eb="22">
      <t>ハンイ</t>
    </rPh>
    <rPh sb="22" eb="23">
      <t>ガイ</t>
    </rPh>
    <phoneticPr fontId="2"/>
  </si>
  <si>
    <t>・CloudFront上のファイルにアクセスできること</t>
    <rPh sb="11" eb="12">
      <t>ジョウ</t>
    </rPh>
    <phoneticPr fontId="2"/>
  </si>
  <si>
    <t>署名付きCookieの有効期限前で、アクセス制限が設定されているCloudFront上のファイルにアクセスできないことを確認する</t>
    <rPh sb="0" eb="2">
      <t>ショメイ</t>
    </rPh>
    <rPh sb="2" eb="3">
      <t>ツ</t>
    </rPh>
    <rPh sb="11" eb="13">
      <t>ユウコウ</t>
    </rPh>
    <rPh sb="13" eb="15">
      <t>キゲン</t>
    </rPh>
    <rPh sb="15" eb="16">
      <t>マエ</t>
    </rPh>
    <rPh sb="22" eb="24">
      <t>セイゲン</t>
    </rPh>
    <rPh sb="25" eb="27">
      <t>セッテイ</t>
    </rPh>
    <rPh sb="42" eb="43">
      <t>ジョウ</t>
    </rPh>
    <rPh sb="60" eb="62">
      <t>カクニン</t>
    </rPh>
    <phoneticPr fontId="2"/>
  </si>
  <si>
    <t>有償会員・署名付Cookie保持＆ポリシーで指定した有効期限前</t>
    <rPh sb="5" eb="7">
      <t>ショメイ</t>
    </rPh>
    <rPh sb="7" eb="8">
      <t>ツキ</t>
    </rPh>
    <rPh sb="14" eb="16">
      <t>ホジ</t>
    </rPh>
    <rPh sb="22" eb="24">
      <t>シテイ</t>
    </rPh>
    <rPh sb="26" eb="28">
      <t>ユウコウ</t>
    </rPh>
    <rPh sb="28" eb="30">
      <t>キゲン</t>
    </rPh>
    <rPh sb="30" eb="31">
      <t>マエ</t>
    </rPh>
    <phoneticPr fontId="2"/>
  </si>
  <si>
    <t>・有効期限前のため、CloudFront上のファイルにアクセスできないこと</t>
    <rPh sb="1" eb="3">
      <t>ユウコウ</t>
    </rPh>
    <rPh sb="3" eb="5">
      <t>キゲン</t>
    </rPh>
    <rPh sb="5" eb="6">
      <t>マエ</t>
    </rPh>
    <rPh sb="20" eb="21">
      <t>ジョウ</t>
    </rPh>
    <phoneticPr fontId="2"/>
  </si>
  <si>
    <t>有償会員でも署名付きCookieが発行されないページにアクセスした際にCloudFront上のファイルにアクセスできるないことを確認する</t>
    <rPh sb="0" eb="2">
      <t>ユウショウ</t>
    </rPh>
    <rPh sb="2" eb="4">
      <t>カイイン</t>
    </rPh>
    <rPh sb="6" eb="9">
      <t>ショメイツ</t>
    </rPh>
    <rPh sb="17" eb="19">
      <t>ハッコウ</t>
    </rPh>
    <rPh sb="33" eb="34">
      <t>サイ</t>
    </rPh>
    <rPh sb="45" eb="46">
      <t>ジョウ</t>
    </rPh>
    <rPh sb="64" eb="66">
      <t>カクニン</t>
    </rPh>
    <phoneticPr fontId="2"/>
  </si>
  <si>
    <t>有償会員・署名付Cookie未保持または保持していても期限切れで再発行が行われていない状態</t>
    <rPh sb="0" eb="2">
      <t>ユウショウ</t>
    </rPh>
    <rPh sb="2" eb="4">
      <t>カイイン</t>
    </rPh>
    <rPh sb="5" eb="7">
      <t>ショメイ</t>
    </rPh>
    <rPh sb="7" eb="8">
      <t>ツキ</t>
    </rPh>
    <rPh sb="14" eb="15">
      <t>ミ</t>
    </rPh>
    <rPh sb="15" eb="17">
      <t>ホジ</t>
    </rPh>
    <rPh sb="20" eb="22">
      <t>ホジ</t>
    </rPh>
    <rPh sb="27" eb="29">
      <t>キゲン</t>
    </rPh>
    <rPh sb="29" eb="30">
      <t>ギ</t>
    </rPh>
    <rPh sb="32" eb="35">
      <t>サイハッコウ</t>
    </rPh>
    <rPh sb="36" eb="37">
      <t>オコナ</t>
    </rPh>
    <rPh sb="43" eb="45">
      <t>ジョウタイ</t>
    </rPh>
    <phoneticPr fontId="2"/>
  </si>
  <si>
    <t>署名付Cookieが発行されるユーザでログインする。
・署名付Cookieが発行されないURLにアクセスする。</t>
    <rPh sb="0" eb="2">
      <t>ショメイ</t>
    </rPh>
    <rPh sb="2" eb="3">
      <t>ツキ</t>
    </rPh>
    <rPh sb="10" eb="12">
      <t>ハッコウ</t>
    </rPh>
    <rPh sb="28" eb="30">
      <t>ショメイ</t>
    </rPh>
    <rPh sb="30" eb="31">
      <t>ツ</t>
    </rPh>
    <rPh sb="38" eb="40">
      <t>ハッコウ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</si>
</sst>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lt;=999]000;[&lt;=9999]000\-00;000\-00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7">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pplyAlignment="1">
      <alignment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Fill="1" applyBorder="1" applyAlignment="1">
      <alignment horizontal="center" vertical="top" wrapText="1"/>
    </xf>
    <xf numFmtId="49" fontId="6" fillId="0" borderId="1" xfId="2" applyNumberFormat="1" applyFill="1" applyBorder="1" applyAlignment="1">
      <alignment horizontal="left" vertical="top" wrapText="1"/>
    </xf>
    <xf numFmtId="176" fontId="6" fillId="0" borderId="4" xfId="2" applyNumberFormat="1" applyFill="1" applyBorder="1" applyAlignment="1">
      <alignment horizontal="center" vertical="top" wrapText="1"/>
    </xf>
    <xf numFmtId="0" fontId="6" fillId="0" borderId="1" xfId="2" applyNumberFormat="1" applyBorder="1" applyAlignment="1">
      <alignment horizontal="center" vertical="center"/>
    </xf>
    <xf numFmtId="176" fontId="6" fillId="4" borderId="2" xfId="2" applyNumberFormat="1" applyFill="1" applyBorder="1" applyAlignment="1">
      <alignment horizontal="center" vertical="top" wrapText="1"/>
    </xf>
    <xf numFmtId="0" fontId="6" fillId="4" borderId="1" xfId="2" applyNumberFormat="1"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0" xfId="0" applyFill="1" applyAlignment="1">
      <alignment horizontal="center" vertical="top"/>
    </xf>
    <xf numFmtId="0" fontId="0" fillId="4" borderId="3" xfId="0" applyFill="1" applyBorder="1" applyAlignment="1">
      <alignment horizontal="center" vertical="top"/>
    </xf>
    <xf numFmtId="0" fontId="5" fillId="4" borderId="3" xfId="1" applyFill="1" applyBorder="1" applyAlignment="1" applyProtection="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0" fillId="0" borderId="12" xfId="0" applyBorder="1" applyAlignment="1">
      <alignment horizontal="left" vertical="top"/>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cellStyles>
  <dxfs count="71">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zoomScale="80" zoomScaleNormal="80" workbookViewId="0">
      <pane ySplit="4" topLeftCell="A5" activePane="bottomLeft" state="frozen"/>
      <selection pane="bottomLeft" activeCell="D30" sqref="D30"/>
    </sheetView>
  </sheetViews>
  <sheetFormatPr defaultRowHeight="13.2" x14ac:dyDescent="0.2"/>
  <cols>
    <col min="1" max="1" width="9.77734375" bestFit="1" customWidth="1"/>
    <col min="2" max="2" width="41.21875" customWidth="1"/>
    <col min="3" max="3" width="13.6640625" customWidth="1"/>
    <col min="4" max="4" width="75" customWidth="1"/>
  </cols>
  <sheetData>
    <row r="1" spans="1:4" x14ac:dyDescent="0.2">
      <c r="A1" s="1" t="s">
        <v>0</v>
      </c>
      <c r="B1" s="2" t="s">
        <v>25</v>
      </c>
      <c r="C1" s="31" t="s">
        <v>24</v>
      </c>
    </row>
    <row r="2" spans="1:4" x14ac:dyDescent="0.2">
      <c r="A2" s="3" t="s">
        <v>1</v>
      </c>
      <c r="B2" s="2" t="s">
        <v>26</v>
      </c>
      <c r="C2" s="2">
        <f>COUNTIF(PRCD01!C9:C19, "*")</f>
        <v>8</v>
      </c>
    </row>
    <row r="4" spans="1:4" x14ac:dyDescent="0.2">
      <c r="A4" s="4" t="s">
        <v>2</v>
      </c>
      <c r="B4" s="4" t="s">
        <v>3</v>
      </c>
      <c r="C4" s="4" t="s">
        <v>4</v>
      </c>
      <c r="D4" s="4" t="s">
        <v>5</v>
      </c>
    </row>
    <row r="5" spans="1:4" x14ac:dyDescent="0.2">
      <c r="A5" s="26" t="str">
        <f>IF(B5="","",($B$1&amp;TEXT(IF(B5="","",COUNTA($B$5:B5)),"00")))</f>
        <v>PRCD01</v>
      </c>
      <c r="B5" s="23" t="s">
        <v>27</v>
      </c>
      <c r="C5" s="30" t="str">
        <f>IF(B5="",($B$1&amp;TEXT(IF(B5="",COUNTA($B$5:B5),1),"00")),A5)&amp;IF(B5&lt;&gt;"",TEXT(1,"00"),TEXT(IF(A5&lt;&gt;"",1,RIGHT(C4,2)+1),"00"))</f>
        <v>PRCD0101</v>
      </c>
      <c r="D5" s="5" t="s">
        <v>28</v>
      </c>
    </row>
    <row r="6" spans="1:4" x14ac:dyDescent="0.2">
      <c r="A6" s="27" t="str">
        <f>IF(B6="","",($B$1&amp;TEXT(IF(B6="","",COUNTA($B$5:B6)),"00")))</f>
        <v/>
      </c>
      <c r="B6" s="24"/>
      <c r="C6" s="30" t="str">
        <f>IF(B6="",($B$1&amp;TEXT(IF(B6="",COUNTA($B$5:B6),1),"00")),A6)&amp;IF(B6&lt;&gt;"",TEXT(1,"00"),TEXT(IF(A6&lt;&gt;"",1,RIGHT(C5,2)+1),"00"))</f>
        <v>PRCD0102</v>
      </c>
      <c r="D6" s="5"/>
    </row>
    <row r="7" spans="1:4" x14ac:dyDescent="0.2">
      <c r="A7" s="27" t="str">
        <f>IF(B7="","",($B$1&amp;TEXT(IF(B7="","",COUNTA($B$5:B7)),"00")))</f>
        <v/>
      </c>
      <c r="B7" s="24"/>
      <c r="C7" s="30" t="str">
        <f>IF(B7="",($B$1&amp;TEXT(IF(B7="",COUNTA($B$5:B7),1),"00")),A7)&amp;IF(B7&lt;&gt;"",TEXT(1,"00"),TEXT(IF(A7&lt;&gt;"",1,RIGHT(C6,2)+1),"00"))</f>
        <v>PRCD0103</v>
      </c>
      <c r="D7" s="5"/>
    </row>
    <row r="8" spans="1:4" x14ac:dyDescent="0.2">
      <c r="A8" s="26" t="str">
        <f>IF(B8="","",($B$1&amp;TEXT(IF(B8="","",COUNTA($B$5:B8)),"00")))</f>
        <v/>
      </c>
      <c r="B8" s="24"/>
      <c r="C8" s="30" t="str">
        <f>IF(B8="",($B$1&amp;TEXT(IF(B8="",COUNTA($B$5:B8),1),"00")),A8)&amp;IF(B8&lt;&gt;"",TEXT(1,"00"),TEXT(IF(A8&lt;&gt;"",1,RIGHT(C7,2)+1),"00"))</f>
        <v>PRCD0104</v>
      </c>
      <c r="D8" s="5"/>
    </row>
    <row r="9" spans="1:4" x14ac:dyDescent="0.2">
      <c r="A9" s="27" t="str">
        <f>IF(B9="","",($B$1&amp;TEXT(IF(B9="","",COUNTA($B$5:B9)),"00")))</f>
        <v/>
      </c>
      <c r="B9" s="24"/>
      <c r="C9" s="30" t="str">
        <f>IF(B9="",($B$1&amp;TEXT(IF(B9="",COUNTA($B$5:B9),1),"00")),A9)&amp;IF(B9&lt;&gt;"",TEXT(1,"00"),TEXT(IF(A9&lt;&gt;"",1,RIGHT(C8,2)+1),"00"))</f>
        <v>PRCD0105</v>
      </c>
      <c r="D9" s="5"/>
    </row>
    <row r="10" spans="1:4" x14ac:dyDescent="0.2">
      <c r="A10" s="28" t="str">
        <f>IF(B10="","",($B$1&amp;TEXT(IF(B10="","",COUNTA($B$5:B10)),"00")))</f>
        <v/>
      </c>
      <c r="B10" s="24"/>
      <c r="C10" s="30" t="str">
        <f>IF(B10="",($B$1&amp;TEXT(IF(B10="",COUNTA($B$5:B10),1),"00")),A10)&amp;IF(B10&lt;&gt;"",TEXT(1,"00"),TEXT(IF(A10&lt;&gt;"",1,RIGHT(C9,2)+1),"00"))</f>
        <v>PRCD0106</v>
      </c>
      <c r="D10" s="5"/>
    </row>
    <row r="11" spans="1:4" x14ac:dyDescent="0.2">
      <c r="A11" s="27" t="str">
        <f>IF(B11="","",($B$1&amp;TEXT(IF(B11="","",COUNTA($B$5:B11)),"00")))</f>
        <v/>
      </c>
      <c r="B11" s="24"/>
      <c r="C11" s="30" t="str">
        <f>IF(B11="",($B$1&amp;TEXT(IF(B11="",COUNTA($B$5:B11),1),"00")),A11)&amp;IF(B11&lt;&gt;"",TEXT(1,"00"),TEXT(IF(A11&lt;&gt;"",1,RIGHT(C10,2)+1),"00"))</f>
        <v>PRCD0107</v>
      </c>
      <c r="D11" s="5"/>
    </row>
    <row r="12" spans="1:4" x14ac:dyDescent="0.2">
      <c r="A12" s="27" t="str">
        <f>IF(B12="","",($B$1&amp;TEXT(IF(B12="","",COUNTA($B$5:B12)),"00")))</f>
        <v/>
      </c>
      <c r="B12" s="24"/>
      <c r="C12" s="30" t="str">
        <f>IF(B12="",($B$1&amp;TEXT(IF(B12="",COUNTA($B$5:B12),1),"00")),A12)&amp;IF(B12&lt;&gt;"",TEXT(1,"00"),TEXT(IF(A12&lt;&gt;"",1,RIGHT(C11,2)+1),"00"))</f>
        <v>PRCD0108</v>
      </c>
      <c r="D12" s="5"/>
    </row>
    <row r="13" spans="1:4" x14ac:dyDescent="0.2">
      <c r="A13" s="28" t="str">
        <f>IF(B13="","",($B$1&amp;TEXT(IF(B13="","",COUNTA($B$5:B13)),"00")))</f>
        <v/>
      </c>
      <c r="B13" s="24"/>
      <c r="C13" s="30" t="str">
        <f>IF(B13="",($B$1&amp;TEXT(IF(B13="",COUNTA($B$5:B13),1),"00")),A13)&amp;IF(B13&lt;&gt;"",TEXT(1,"00"),TEXT(IF(A13&lt;&gt;"",1,RIGHT(C12,2)+1),"00"))</f>
        <v>PRCD0109</v>
      </c>
      <c r="D13" s="5"/>
    </row>
    <row r="14" spans="1:4" x14ac:dyDescent="0.2">
      <c r="A14" s="29" t="str">
        <f>IF(B14="","",($B$1&amp;TEXT(IF(B14="","",COUNTA($B$5:B14)),"00")))</f>
        <v/>
      </c>
      <c r="B14" s="25"/>
      <c r="C14" s="30" t="str">
        <f>IF(B14="",($B$1&amp;TEXT(IF(B14="",COUNTA($B$5:B14),1),"00")),A14)&amp;IF(B14&lt;&gt;"",TEXT(1,"00"),TEXT(IF(A14&lt;&gt;"",1,RIGHT(C13,2)+1),"00"))</f>
        <v>PRCD0110</v>
      </c>
      <c r="D14" s="5"/>
    </row>
  </sheetData>
  <phoneticPr fontId="2"/>
  <conditionalFormatting sqref="B5">
    <cfRule type="expression" dxfId="70" priority="40">
      <formula>B5&lt;&gt;""</formula>
    </cfRule>
  </conditionalFormatting>
  <conditionalFormatting sqref="B6">
    <cfRule type="expression" dxfId="69" priority="39">
      <formula>B6&lt;&gt;""</formula>
    </cfRule>
  </conditionalFormatting>
  <conditionalFormatting sqref="B7">
    <cfRule type="expression" dxfId="68" priority="38">
      <formula>B7&lt;&gt;""</formula>
    </cfRule>
  </conditionalFormatting>
  <conditionalFormatting sqref="B8">
    <cfRule type="expression" dxfId="67" priority="37">
      <formula>B8&lt;&gt;""</formula>
    </cfRule>
  </conditionalFormatting>
  <conditionalFormatting sqref="B9">
    <cfRule type="expression" dxfId="66" priority="36">
      <formula>B9&lt;&gt;""</formula>
    </cfRule>
  </conditionalFormatting>
  <conditionalFormatting sqref="B10">
    <cfRule type="expression" dxfId="65" priority="35">
      <formula>B10&lt;&gt;""</formula>
    </cfRule>
  </conditionalFormatting>
  <conditionalFormatting sqref="B11">
    <cfRule type="expression" dxfId="64" priority="34">
      <formula>B11&lt;&gt;""</formula>
    </cfRule>
  </conditionalFormatting>
  <conditionalFormatting sqref="B12">
    <cfRule type="expression" dxfId="63" priority="33">
      <formula>B12&lt;&gt;""</formula>
    </cfRule>
  </conditionalFormatting>
  <conditionalFormatting sqref="B13">
    <cfRule type="expression" dxfId="62" priority="32">
      <formula>B13&lt;&gt;""</formula>
    </cfRule>
  </conditionalFormatting>
  <conditionalFormatting sqref="B14">
    <cfRule type="expression" dxfId="61" priority="31">
      <formula>B14&lt;&gt;""</formula>
    </cfRule>
  </conditionalFormatting>
  <conditionalFormatting sqref="A5">
    <cfRule type="expression" dxfId="60" priority="30">
      <formula>A5&lt;&gt;""</formula>
    </cfRule>
  </conditionalFormatting>
  <conditionalFormatting sqref="A8">
    <cfRule type="expression" dxfId="59" priority="27">
      <formula>A8&lt;&gt;""</formula>
    </cfRule>
  </conditionalFormatting>
  <conditionalFormatting sqref="A9">
    <cfRule type="expression" dxfId="58" priority="26">
      <formula>A9&lt;&gt;""</formula>
    </cfRule>
  </conditionalFormatting>
  <conditionalFormatting sqref="A10">
    <cfRule type="expression" dxfId="57" priority="25">
      <formula>A10&lt;&gt;""</formula>
    </cfRule>
  </conditionalFormatting>
  <conditionalFormatting sqref="A11">
    <cfRule type="expression" dxfId="56" priority="24">
      <formula>A11&lt;&gt;""</formula>
    </cfRule>
  </conditionalFormatting>
  <conditionalFormatting sqref="A12">
    <cfRule type="expression" dxfId="55" priority="23">
      <formula>A12&lt;&gt;""</formula>
    </cfRule>
  </conditionalFormatting>
  <conditionalFormatting sqref="A13">
    <cfRule type="expression" dxfId="54" priority="22">
      <formula>A13&lt;&gt;""</formula>
    </cfRule>
  </conditionalFormatting>
  <conditionalFormatting sqref="A14">
    <cfRule type="expression" dxfId="53" priority="21">
      <formula>A14&lt;&gt;""</formula>
    </cfRule>
  </conditionalFormatting>
  <conditionalFormatting sqref="A14">
    <cfRule type="expression" dxfId="52" priority="20">
      <formula>A14&lt;&gt;""</formula>
    </cfRule>
  </conditionalFormatting>
  <conditionalFormatting sqref="A11">
    <cfRule type="expression" dxfId="51" priority="19">
      <formula>A11&lt;&gt;""</formula>
    </cfRule>
  </conditionalFormatting>
  <conditionalFormatting sqref="A12">
    <cfRule type="expression" dxfId="50" priority="18">
      <formula>A12&lt;&gt;""</formula>
    </cfRule>
  </conditionalFormatting>
  <conditionalFormatting sqref="A6">
    <cfRule type="expression" dxfId="49" priority="15">
      <formula>A6&lt;&gt;""</formula>
    </cfRule>
  </conditionalFormatting>
  <conditionalFormatting sqref="A7">
    <cfRule type="expression" dxfId="48" priority="14">
      <formula>A7&lt;&gt;""</formula>
    </cfRule>
  </conditionalFormatting>
  <conditionalFormatting sqref="A8">
    <cfRule type="expression" dxfId="47" priority="13">
      <formula>A8&lt;&gt;""</formula>
    </cfRule>
  </conditionalFormatting>
  <conditionalFormatting sqref="A9">
    <cfRule type="expression" dxfId="46" priority="12">
      <formula>A9&lt;&gt;""</formula>
    </cfRule>
  </conditionalFormatting>
  <conditionalFormatting sqref="A10">
    <cfRule type="expression" dxfId="45" priority="11">
      <formula>A10&lt;&gt;""</formula>
    </cfRule>
  </conditionalFormatting>
  <conditionalFormatting sqref="A11">
    <cfRule type="expression" dxfId="44" priority="10">
      <formula>A11&lt;&gt;""</formula>
    </cfRule>
  </conditionalFormatting>
  <conditionalFormatting sqref="A12">
    <cfRule type="expression" dxfId="43" priority="9">
      <formula>A12&lt;&gt;""</formula>
    </cfRule>
  </conditionalFormatting>
  <conditionalFormatting sqref="A13">
    <cfRule type="expression" dxfId="42" priority="8">
      <formula>A13&lt;&gt;""</formula>
    </cfRule>
  </conditionalFormatting>
  <conditionalFormatting sqref="A14">
    <cfRule type="expression" dxfId="41" priority="7">
      <formula>A14&lt;&gt;""</formula>
    </cfRule>
  </conditionalFormatting>
  <conditionalFormatting sqref="A7">
    <cfRule type="expression" dxfId="40" priority="6">
      <formula>A7&lt;&gt;""</formula>
    </cfRule>
  </conditionalFormatting>
  <conditionalFormatting sqref="A9">
    <cfRule type="expression" dxfId="39" priority="5">
      <formula>A9&lt;&gt;""</formula>
    </cfRule>
  </conditionalFormatting>
  <conditionalFormatting sqref="A11">
    <cfRule type="expression" dxfId="38" priority="4">
      <formula>A11&lt;&gt;""</formula>
    </cfRule>
  </conditionalFormatting>
  <conditionalFormatting sqref="A12">
    <cfRule type="expression" dxfId="37" priority="3">
      <formula>A12&lt;&gt;""</formula>
    </cfRule>
  </conditionalFormatting>
  <conditionalFormatting sqref="A14">
    <cfRule type="expression" dxfId="36" priority="2">
      <formula>A14&lt;&gt;""</formula>
    </cfRule>
  </conditionalFormatting>
  <conditionalFormatting sqref="A14">
    <cfRule type="expression" dxfId="35" priority="1">
      <formula>A14&lt;&gt;""</formula>
    </cfRule>
  </conditionalFormatting>
  <hyperlinks>
    <hyperlink ref="A10" location="PRPT01!A1" display="PRPT01!A1"/>
    <hyperlink ref="A13" location="PRPT01!A1" display="PRPT01!A1"/>
  </hyperlinks>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9"/>
  <sheetViews>
    <sheetView tabSelected="1" zoomScale="85" zoomScaleNormal="85" workbookViewId="0">
      <pane ySplit="8" topLeftCell="A15" activePane="bottomLeft" state="frozen"/>
      <selection pane="bottomLeft" activeCell="F26" sqref="F2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33" t="s">
        <v>6</v>
      </c>
      <c r="B1" s="34"/>
      <c r="C1" s="6" t="s">
        <v>7</v>
      </c>
      <c r="D1" s="6" t="s">
        <v>8</v>
      </c>
      <c r="E1" s="6" t="s">
        <v>9</v>
      </c>
      <c r="F1" s="6" t="s">
        <v>10</v>
      </c>
      <c r="G1" s="6" t="s">
        <v>11</v>
      </c>
      <c r="H1" s="7" t="s">
        <v>12</v>
      </c>
    </row>
    <row r="2" spans="1:10" x14ac:dyDescent="0.2">
      <c r="A2" s="35" t="s">
        <v>20</v>
      </c>
      <c r="B2" s="36"/>
      <c r="C2" s="39">
        <f>COUNTA($D$9:$D$65505)</f>
        <v>8</v>
      </c>
      <c r="D2" s="21" t="str">
        <f>大中項目!B1</f>
        <v>PRCD</v>
      </c>
      <c r="E2" s="19" t="str">
        <f>大中項目!A5</f>
        <v>PRCD01</v>
      </c>
      <c r="F2" s="9"/>
      <c r="G2" s="9"/>
      <c r="H2" s="8"/>
    </row>
    <row r="3" spans="1:10" x14ac:dyDescent="0.2">
      <c r="A3" s="37"/>
      <c r="B3" s="38"/>
      <c r="C3" s="40"/>
      <c r="D3" s="21" t="str">
        <f>大中項目!B2</f>
        <v>CDNを用いたプライベート配信</v>
      </c>
      <c r="E3" s="19" t="str">
        <f>大中項目!B5</f>
        <v>アクセス制限</v>
      </c>
      <c r="F3" s="9"/>
      <c r="G3" s="9"/>
      <c r="H3" s="9"/>
    </row>
    <row r="4" spans="1:10" x14ac:dyDescent="0.2">
      <c r="A4" s="10"/>
      <c r="B4" s="10"/>
      <c r="C4" s="10"/>
      <c r="D4" s="10"/>
      <c r="E4" s="10"/>
      <c r="F4" s="10"/>
      <c r="G4" s="10"/>
      <c r="H4" s="10"/>
      <c r="I4" s="10"/>
    </row>
    <row r="5" spans="1:10" x14ac:dyDescent="0.2">
      <c r="A5" s="41" t="s">
        <v>13</v>
      </c>
      <c r="B5" s="42"/>
      <c r="C5" s="42"/>
      <c r="D5" s="42"/>
      <c r="E5" s="42"/>
      <c r="F5" s="42"/>
      <c r="G5" s="42"/>
      <c r="H5" s="42"/>
      <c r="I5" s="43"/>
    </row>
    <row r="6" spans="1:10" ht="42" customHeight="1" x14ac:dyDescent="0.2">
      <c r="A6" s="44" t="s">
        <v>14</v>
      </c>
      <c r="B6" s="45"/>
      <c r="C6" s="45"/>
      <c r="D6" s="45"/>
      <c r="E6" s="45"/>
      <c r="F6" s="45"/>
      <c r="G6" s="45"/>
      <c r="H6" s="45"/>
      <c r="I6" s="46"/>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52.8" x14ac:dyDescent="0.2">
      <c r="A9" s="12" t="str">
        <f>大中項目!C5</f>
        <v>PRCD0101</v>
      </c>
      <c r="B9" s="20">
        <f t="shared" ref="B9:B19" ca="1" si="0">IF(A9&lt;&gt;"",1,INDIRECT(ADDRESS(ROW(B9)-1,COLUMN(B9),4))+1)</f>
        <v>1</v>
      </c>
      <c r="C9" s="13" t="s">
        <v>29</v>
      </c>
      <c r="D9" s="14" t="s">
        <v>31</v>
      </c>
      <c r="E9" s="14" t="s">
        <v>48</v>
      </c>
      <c r="F9" s="14" t="s">
        <v>32</v>
      </c>
      <c r="G9" s="14" t="s">
        <v>37</v>
      </c>
      <c r="H9" s="14" t="s">
        <v>33</v>
      </c>
      <c r="I9" s="15" t="s">
        <v>30</v>
      </c>
      <c r="J9" s="32"/>
    </row>
    <row r="10" spans="1:10" ht="66" x14ac:dyDescent="0.2">
      <c r="A10" s="16"/>
      <c r="B10" s="20">
        <f t="shared" ca="1" si="0"/>
        <v>2</v>
      </c>
      <c r="C10" s="13" t="s">
        <v>29</v>
      </c>
      <c r="D10" s="14" t="s">
        <v>56</v>
      </c>
      <c r="E10" s="14" t="s">
        <v>57</v>
      </c>
      <c r="F10" s="14" t="s">
        <v>32</v>
      </c>
      <c r="G10" s="14" t="s">
        <v>43</v>
      </c>
      <c r="H10" s="14" t="s">
        <v>58</v>
      </c>
      <c r="I10" s="15" t="s">
        <v>30</v>
      </c>
      <c r="J10" s="32"/>
    </row>
    <row r="11" spans="1:10" ht="66" x14ac:dyDescent="0.2">
      <c r="A11" s="16"/>
      <c r="B11" s="20">
        <f t="shared" ca="1" si="0"/>
        <v>3</v>
      </c>
      <c r="C11" s="13" t="s">
        <v>29</v>
      </c>
      <c r="D11" s="14" t="s">
        <v>34</v>
      </c>
      <c r="E11" s="14" t="s">
        <v>49</v>
      </c>
      <c r="F11" s="14" t="s">
        <v>32</v>
      </c>
      <c r="G11" s="14" t="s">
        <v>43</v>
      </c>
      <c r="H11" s="14" t="s">
        <v>55</v>
      </c>
      <c r="I11" s="15" t="s">
        <v>30</v>
      </c>
      <c r="J11" s="32"/>
    </row>
    <row r="12" spans="1:10" ht="66" x14ac:dyDescent="0.2">
      <c r="A12" s="16"/>
      <c r="B12" s="20">
        <f t="shared" ca="1" si="0"/>
        <v>4</v>
      </c>
      <c r="C12" s="13" t="s">
        <v>29</v>
      </c>
      <c r="D12" s="14" t="s">
        <v>35</v>
      </c>
      <c r="E12" s="14" t="s">
        <v>50</v>
      </c>
      <c r="F12" s="14" t="s">
        <v>32</v>
      </c>
      <c r="G12" s="17" t="s">
        <v>39</v>
      </c>
      <c r="H12" s="14" t="s">
        <v>36</v>
      </c>
      <c r="I12" s="15" t="s">
        <v>30</v>
      </c>
      <c r="J12" s="32"/>
    </row>
    <row r="13" spans="1:10" ht="92.4" x14ac:dyDescent="0.2">
      <c r="A13" s="16"/>
      <c r="B13" s="20">
        <f t="shared" ca="1" si="0"/>
        <v>5</v>
      </c>
      <c r="C13" s="13" t="s">
        <v>29</v>
      </c>
      <c r="D13" s="17" t="s">
        <v>38</v>
      </c>
      <c r="E13" s="14" t="s">
        <v>51</v>
      </c>
      <c r="F13" s="14" t="s">
        <v>40</v>
      </c>
      <c r="G13" s="17" t="s">
        <v>41</v>
      </c>
      <c r="H13" s="14" t="s">
        <v>54</v>
      </c>
      <c r="I13" s="15" t="s">
        <v>30</v>
      </c>
      <c r="J13" s="32"/>
    </row>
    <row r="14" spans="1:10" ht="118.8" x14ac:dyDescent="0.2">
      <c r="A14" s="16"/>
      <c r="B14" s="20">
        <f t="shared" ca="1" si="0"/>
        <v>6</v>
      </c>
      <c r="C14" s="13" t="s">
        <v>29</v>
      </c>
      <c r="D14" s="17" t="s">
        <v>45</v>
      </c>
      <c r="E14" s="17" t="s">
        <v>52</v>
      </c>
      <c r="F14" s="14" t="s">
        <v>40</v>
      </c>
      <c r="G14" s="14" t="s">
        <v>42</v>
      </c>
      <c r="H14" s="14" t="s">
        <v>44</v>
      </c>
      <c r="I14" s="15" t="s">
        <v>30</v>
      </c>
      <c r="J14" s="32"/>
    </row>
    <row r="15" spans="1:10" ht="132" x14ac:dyDescent="0.2">
      <c r="A15" s="16"/>
      <c r="B15" s="20">
        <f t="shared" ca="1" si="0"/>
        <v>7</v>
      </c>
      <c r="C15" s="13" t="s">
        <v>29</v>
      </c>
      <c r="D15" s="17" t="s">
        <v>46</v>
      </c>
      <c r="E15" s="17" t="s">
        <v>53</v>
      </c>
      <c r="F15" s="14" t="s">
        <v>40</v>
      </c>
      <c r="G15" s="14" t="s">
        <v>47</v>
      </c>
      <c r="H15" s="14" t="s">
        <v>44</v>
      </c>
      <c r="I15" s="15" t="s">
        <v>30</v>
      </c>
      <c r="J15" s="32"/>
    </row>
    <row r="16" spans="1:10" ht="79.2" x14ac:dyDescent="0.2">
      <c r="A16" s="16"/>
      <c r="B16" s="20">
        <f t="shared" ca="1" si="0"/>
        <v>8</v>
      </c>
      <c r="C16" s="13" t="s">
        <v>29</v>
      </c>
      <c r="D16" s="14" t="s">
        <v>59</v>
      </c>
      <c r="E16" s="14" t="s">
        <v>60</v>
      </c>
      <c r="F16" s="14" t="s">
        <v>32</v>
      </c>
      <c r="G16" s="14" t="s">
        <v>61</v>
      </c>
      <c r="H16" s="14" t="s">
        <v>33</v>
      </c>
      <c r="I16" s="15" t="s">
        <v>30</v>
      </c>
      <c r="J16" s="32"/>
    </row>
    <row r="17" spans="1:10" x14ac:dyDescent="0.2">
      <c r="A17" s="16"/>
      <c r="B17" s="20">
        <f t="shared" ca="1" si="0"/>
        <v>9</v>
      </c>
      <c r="C17" s="13"/>
      <c r="D17" s="17"/>
      <c r="E17" s="17"/>
      <c r="F17" s="17"/>
      <c r="G17" s="17"/>
      <c r="H17" s="17"/>
      <c r="I17" s="15"/>
      <c r="J17" s="32"/>
    </row>
    <row r="18" spans="1:10" x14ac:dyDescent="0.2">
      <c r="A18" s="16"/>
      <c r="B18" s="20">
        <f t="shared" ca="1" si="0"/>
        <v>10</v>
      </c>
      <c r="C18" s="13"/>
      <c r="D18" s="17"/>
      <c r="E18" s="17"/>
      <c r="F18" s="17"/>
      <c r="G18" s="17"/>
      <c r="H18" s="17"/>
      <c r="I18" s="15"/>
      <c r="J18" s="32"/>
    </row>
    <row r="19" spans="1:10" x14ac:dyDescent="0.2">
      <c r="A19" s="18"/>
      <c r="B19" s="22">
        <f t="shared" ca="1" si="0"/>
        <v>11</v>
      </c>
      <c r="C19" s="13"/>
      <c r="D19" s="17"/>
      <c r="E19" s="17"/>
      <c r="F19" s="17"/>
      <c r="G19" s="17"/>
      <c r="H19" s="17"/>
      <c r="I19" s="15"/>
      <c r="J19" s="32"/>
    </row>
  </sheetData>
  <mergeCells count="5">
    <mergeCell ref="A1:B1"/>
    <mergeCell ref="A2:B3"/>
    <mergeCell ref="C2:C3"/>
    <mergeCell ref="A5:I5"/>
    <mergeCell ref="A6:I6"/>
  </mergeCells>
  <phoneticPr fontId="2"/>
  <conditionalFormatting sqref="B9 A10:B19">
    <cfRule type="expression" dxfId="34" priority="106">
      <formula>A9&lt;&gt;""</formula>
    </cfRule>
  </conditionalFormatting>
  <conditionalFormatting sqref="B9:B19">
    <cfRule type="expression" dxfId="33" priority="34">
      <formula>B9&lt;&gt;""</formula>
    </cfRule>
  </conditionalFormatting>
  <conditionalFormatting sqref="B9">
    <cfRule type="expression" dxfId="32" priority="33">
      <formula>B9&lt;&gt;""</formula>
    </cfRule>
  </conditionalFormatting>
  <conditionalFormatting sqref="B9">
    <cfRule type="expression" dxfId="31" priority="32">
      <formula>B9&lt;&gt;""</formula>
    </cfRule>
  </conditionalFormatting>
  <conditionalFormatting sqref="B9">
    <cfRule type="expression" dxfId="30" priority="31">
      <formula>B9&lt;&gt;""</formula>
    </cfRule>
  </conditionalFormatting>
  <conditionalFormatting sqref="B10">
    <cfRule type="expression" dxfId="29" priority="30">
      <formula>B10&lt;&gt;""</formula>
    </cfRule>
  </conditionalFormatting>
  <conditionalFormatting sqref="B10">
    <cfRule type="expression" dxfId="28" priority="29">
      <formula>B10&lt;&gt;""</formula>
    </cfRule>
  </conditionalFormatting>
  <conditionalFormatting sqref="B10">
    <cfRule type="expression" dxfId="27" priority="28">
      <formula>B10&lt;&gt;""</formula>
    </cfRule>
  </conditionalFormatting>
  <conditionalFormatting sqref="B11">
    <cfRule type="expression" dxfId="26" priority="27">
      <formula>B11&lt;&gt;""</formula>
    </cfRule>
  </conditionalFormatting>
  <conditionalFormatting sqref="B11">
    <cfRule type="expression" dxfId="25" priority="26">
      <formula>B11&lt;&gt;""</formula>
    </cfRule>
  </conditionalFormatting>
  <conditionalFormatting sqref="B11">
    <cfRule type="expression" dxfId="24" priority="25">
      <formula>B11&lt;&gt;""</formula>
    </cfRule>
  </conditionalFormatting>
  <conditionalFormatting sqref="B12">
    <cfRule type="expression" dxfId="23" priority="24">
      <formula>B12&lt;&gt;""</formula>
    </cfRule>
  </conditionalFormatting>
  <conditionalFormatting sqref="B12">
    <cfRule type="expression" dxfId="22" priority="23">
      <formula>B12&lt;&gt;""</formula>
    </cfRule>
  </conditionalFormatting>
  <conditionalFormatting sqref="B12">
    <cfRule type="expression" dxfId="21" priority="22">
      <formula>B12&lt;&gt;""</formula>
    </cfRule>
  </conditionalFormatting>
  <conditionalFormatting sqref="B13">
    <cfRule type="expression" dxfId="20" priority="21">
      <formula>B13&lt;&gt;""</formula>
    </cfRule>
  </conditionalFormatting>
  <conditionalFormatting sqref="B13">
    <cfRule type="expression" dxfId="19" priority="20">
      <formula>B13&lt;&gt;""</formula>
    </cfRule>
  </conditionalFormatting>
  <conditionalFormatting sqref="B13">
    <cfRule type="expression" dxfId="18" priority="19">
      <formula>B13&lt;&gt;""</formula>
    </cfRule>
  </conditionalFormatting>
  <conditionalFormatting sqref="B14">
    <cfRule type="expression" dxfId="17" priority="18">
      <formula>B14&lt;&gt;""</formula>
    </cfRule>
  </conditionalFormatting>
  <conditionalFormatting sqref="B14">
    <cfRule type="expression" dxfId="16" priority="17">
      <formula>B14&lt;&gt;""</formula>
    </cfRule>
  </conditionalFormatting>
  <conditionalFormatting sqref="B14">
    <cfRule type="expression" dxfId="15" priority="16">
      <formula>B14&lt;&gt;""</formula>
    </cfRule>
  </conditionalFormatting>
  <conditionalFormatting sqref="B15">
    <cfRule type="expression" dxfId="14" priority="15">
      <formula>B15&lt;&gt;""</formula>
    </cfRule>
  </conditionalFormatting>
  <conditionalFormatting sqref="B15">
    <cfRule type="expression" dxfId="13" priority="14">
      <formula>B15&lt;&gt;""</formula>
    </cfRule>
  </conditionalFormatting>
  <conditionalFormatting sqref="B15">
    <cfRule type="expression" dxfId="12" priority="13">
      <formula>B15&lt;&gt;""</formula>
    </cfRule>
  </conditionalFormatting>
  <conditionalFormatting sqref="B16">
    <cfRule type="expression" dxfId="11" priority="12">
      <formula>B16&lt;&gt;""</formula>
    </cfRule>
  </conditionalFormatting>
  <conditionalFormatting sqref="B16">
    <cfRule type="expression" dxfId="10" priority="11">
      <formula>B16&lt;&gt;""</formula>
    </cfRule>
  </conditionalFormatting>
  <conditionalFormatting sqref="B16">
    <cfRule type="expression" dxfId="9" priority="10">
      <formula>B16&lt;&gt;""</formula>
    </cfRule>
  </conditionalFormatting>
  <conditionalFormatting sqref="B17">
    <cfRule type="expression" dxfId="8" priority="9">
      <formula>B17&lt;&gt;""</formula>
    </cfRule>
  </conditionalFormatting>
  <conditionalFormatting sqref="B17">
    <cfRule type="expression" dxfId="7" priority="8">
      <formula>B17&lt;&gt;""</formula>
    </cfRule>
  </conditionalFormatting>
  <conditionalFormatting sqref="B17">
    <cfRule type="expression" dxfId="6" priority="7">
      <formula>B17&lt;&gt;""</formula>
    </cfRule>
  </conditionalFormatting>
  <conditionalFormatting sqref="B18">
    <cfRule type="expression" dxfId="5" priority="6">
      <formula>B18&lt;&gt;""</formula>
    </cfRule>
  </conditionalFormatting>
  <conditionalFormatting sqref="B18">
    <cfRule type="expression" dxfId="4" priority="5">
      <formula>B18&lt;&gt;""</formula>
    </cfRule>
  </conditionalFormatting>
  <conditionalFormatting sqref="B18">
    <cfRule type="expression" dxfId="3" priority="4">
      <formula>B18&lt;&gt;""</formula>
    </cfRule>
  </conditionalFormatting>
  <conditionalFormatting sqref="B19">
    <cfRule type="expression" dxfId="2" priority="3">
      <formula>B19&lt;&gt;""</formula>
    </cfRule>
  </conditionalFormatting>
  <conditionalFormatting sqref="B19">
    <cfRule type="expression" dxfId="1" priority="2">
      <formula>B19&lt;&gt;""</formula>
    </cfRule>
  </conditionalFormatting>
  <conditionalFormatting sqref="B19">
    <cfRule type="expression" dxfId="0" priority="1">
      <formula>B19&lt;&gt;""</formula>
    </cfRule>
  </conditionalFormatting>
  <dataValidations count="2">
    <dataValidation type="list" allowBlank="1" showInputMessage="1" showErrorMessage="1" sqref="I9:I19">
      <formula1>"Selenium:○,Seleniumu:△,Selenium:×,JUnit:○,JUnit:△,Junit:×,手動実行,机上"</formula1>
    </dataValidation>
    <dataValidation type="list" allowBlank="1" showInputMessage="1" showErrorMessage="1" sqref="C9:C19">
      <formula1>"正常,クライアントエラー,サーバーエラー"</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大中項目</vt:lpstr>
      <vt:lpstr>PRCD01</vt:lpstr>
      <vt:lpstr>PRCD01!Print_Titles</vt:lpstr>
      <vt:lpstr>大中項目!Print_Titles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btishiwatasns</dc:creator>
  <cp:lastModifiedBy>terafwXXXX</cp:lastModifiedBy>
  <cp:lastPrinted>2013-11-12T01:02:24Z</cp:lastPrinted>
  <dcterms:created xsi:type="dcterms:W3CDTF">2013-11-07T11:05:46Z</dcterms:created>
  <dcterms:modified xsi:type="dcterms:W3CDTF">2017-11-15T04:25:43Z</dcterms:modified>
</cp:coreProperties>
</file>