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_yggd\macchinetta-cloud-functionaltest\docs\02_機能毎のテスト\"/>
    </mc:Choice>
  </mc:AlternateContent>
  <bookViews>
    <workbookView xWindow="1440" yWindow="3468" windowWidth="25020" windowHeight="8340"/>
  </bookViews>
  <sheets>
    <sheet name="大中項目" sheetId="1" r:id="rId1"/>
    <sheet name="MLSN01" sheetId="6" r:id="rId2"/>
    <sheet name="MLSN02" sheetId="7" r:id="rId3"/>
  </sheets>
  <definedNames>
    <definedName name="_xlnm.Print_Titles" localSheetId="1">MLSN01!$1:$8</definedName>
    <definedName name="_xlnm.Print_Titles" localSheetId="2">MLSN02!$1:$8</definedName>
    <definedName name="_xlnm.Print_Titles" localSheetId="0">大中項目!$1:$4</definedName>
  </definedNames>
  <calcPr calcId="152511"/>
</workbook>
</file>

<file path=xl/calcChain.xml><?xml version="1.0" encoding="utf-8"?>
<calcChain xmlns="http://schemas.openxmlformats.org/spreadsheetml/2006/main">
  <c r="B9" i="7" l="1"/>
  <c r="D3" i="7"/>
  <c r="D2" i="7"/>
  <c r="C2" i="7"/>
  <c r="B10" i="7"/>
  <c r="D3" i="6" l="1"/>
  <c r="D2" i="6"/>
  <c r="A6" i="1"/>
  <c r="A5" i="1"/>
  <c r="B9" i="6"/>
  <c r="C5" i="1" l="1"/>
  <c r="B10" i="6"/>
  <c r="C6" i="1" l="1"/>
  <c r="C2" i="6"/>
</calcChain>
</file>

<file path=xl/sharedStrings.xml><?xml version="1.0" encoding="utf-8"?>
<sst xmlns="http://schemas.openxmlformats.org/spreadsheetml/2006/main" count="83" uniqueCount="50">
  <si>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</si>
  <si>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</si>
  <si>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</si>
  <si>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</si>
  <si>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</si>
  <si>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</si>
  <si>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</si>
  <si>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</si>
  <si>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</si>
  <si>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</si>
  <si>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</si>
  <si>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</si>
  <si>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</si>
  <si>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</si>
  <si>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</si>
  <si>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</si>
  <si>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</si>
  <si>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</si>
  <si>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</si>
  <si>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</si>
  <si>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</si>
  <si>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</si>
  <si>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</si>
  <si>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</si>
  <si>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MLSN</t>
    <phoneticPr fontId="2"/>
  </si>
  <si>
    <t>メール送信 Mail Sending (MLSN)</t>
    <rPh sb="3" eb="5">
      <t>ソウシン</t>
    </rPh>
    <phoneticPr fontId="2"/>
  </si>
  <si>
    <t>MLSN01</t>
    <phoneticPr fontId="2"/>
  </si>
  <si>
    <t>MLSN0101</t>
    <phoneticPr fontId="2"/>
  </si>
  <si>
    <t>正常</t>
  </si>
  <si>
    <t>正常メッセージの送信確認</t>
    <rPh sb="0" eb="2">
      <t>セイジョウ</t>
    </rPh>
    <rPh sb="8" eb="10">
      <t>ソウシン</t>
    </rPh>
    <rPh sb="10" eb="12">
      <t>カクニン</t>
    </rPh>
    <phoneticPr fontId="2"/>
  </si>
  <si>
    <t>SimpleMailMessageを使用する。</t>
    <rPh sb="18" eb="20">
      <t>シヨウ</t>
    </rPh>
    <phoneticPr fontId="2"/>
  </si>
  <si>
    <t>通知を非同期で受信するため、JMSリスナーとメール送信サービスの間にBlockingQueueを設け、通知の到着までレスポンスを待機させる。</t>
    <rPh sb="0" eb="2">
      <t>ツウチ</t>
    </rPh>
    <rPh sb="3" eb="6">
      <t>ヒドウキ</t>
    </rPh>
    <rPh sb="7" eb="9">
      <t>ジュシン</t>
    </rPh>
    <rPh sb="25" eb="27">
      <t>ソウシン</t>
    </rPh>
    <rPh sb="32" eb="33">
      <t>アイダ</t>
    </rPh>
    <rPh sb="48" eb="49">
      <t>モウ</t>
    </rPh>
    <rPh sb="51" eb="53">
      <t>ツウチ</t>
    </rPh>
    <rPh sb="54" eb="56">
      <t>トウチャク</t>
    </rPh>
    <rPh sb="64" eb="66">
      <t>タイキ</t>
    </rPh>
    <phoneticPr fontId="2"/>
  </si>
  <si>
    <t>SESのサンドボックスで検証済みのメールアドレスをFromとする。
シミュレーターの正常送信確認アドレス：success@simulator.amazonses.com
をToに指定する。</t>
    <rPh sb="42" eb="46">
      <t>セイジョウソウシン</t>
    </rPh>
    <rPh sb="46" eb="48">
      <t>カクニン</t>
    </rPh>
    <rPh sb="89" eb="91">
      <t>シテイ</t>
    </rPh>
    <phoneticPr fontId="2"/>
  </si>
  <si>
    <t>以下情報を含む通知が返却されること。
NotificationType:Delivery
To:success@simulator.amazonses.com
Subject:testmail</t>
    <rPh sb="0" eb="4">
      <t>イカジョウホウ</t>
    </rPh>
    <rPh sb="5" eb="6">
      <t>フク</t>
    </rPh>
    <rPh sb="7" eb="9">
      <t>ツウチ</t>
    </rPh>
    <rPh sb="10" eb="12">
      <t>ヘンキャク</t>
    </rPh>
    <phoneticPr fontId="2"/>
  </si>
  <si>
    <t>Selenium:○</t>
  </si>
  <si>
    <t>バウンスメールの通知確認</t>
    <rPh sb="8" eb="10">
      <t>ツウチ</t>
    </rPh>
    <rPh sb="10" eb="12">
      <t>カクニン</t>
    </rPh>
    <phoneticPr fontId="2"/>
  </si>
  <si>
    <t>SESのサンドボックスで検証済みのメールアドレスをFromとする。
シミュレーターのバウンスメール確認アドレス：bounce@simulator.amazonses.com
をToに指定する。</t>
    <rPh sb="49" eb="51">
      <t>カクニン</t>
    </rPh>
    <rPh sb="91" eb="93">
      <t>シテイ</t>
    </rPh>
    <phoneticPr fontId="2"/>
  </si>
  <si>
    <t>以下情報を含む通知が返却されること。
NotificationType:Bounce
To:bounce@simulator.amazonses.com
Subject:testmail</t>
    <rPh sb="0" eb="4">
      <t>イカジョウホウ</t>
    </rPh>
    <rPh sb="5" eb="6">
      <t>フク</t>
    </rPh>
    <rPh sb="7" eb="9">
      <t>ツウチ</t>
    </rPh>
    <rPh sb="10" eb="12">
      <t>ヘンキャク</t>
    </rPh>
    <phoneticPr fontId="2"/>
  </si>
  <si>
    <t>MLSN0201</t>
    <phoneticPr fontId="2"/>
  </si>
  <si>
    <t>MimeMailHelperを使用する。</t>
    <rPh sb="15" eb="17">
      <t>シヨウ</t>
    </rPh>
    <phoneticPr fontId="2"/>
  </si>
  <si>
    <t>SESのサンドボックスで検証済みのメールアドレスと名前を組み合わせた形式のアドレスをFromとする。
シミュレーターの正常送信確認アドレス：success@simulator.amazonses.com
をToに指定する。</t>
    <rPh sb="25" eb="27">
      <t>ナマエ</t>
    </rPh>
    <rPh sb="28" eb="29">
      <t>ク</t>
    </rPh>
    <rPh sb="30" eb="31">
      <t>ア</t>
    </rPh>
    <rPh sb="34" eb="36">
      <t>ケイシキ</t>
    </rPh>
    <rPh sb="59" eb="63">
      <t>セイジョウソウシン</t>
    </rPh>
    <rPh sb="63" eb="65">
      <t>カクニン</t>
    </rPh>
    <rPh sb="106" eb="108">
      <t>シテイ</t>
    </rPh>
    <phoneticPr fontId="2"/>
  </si>
  <si>
    <t>SESのサンドボックスで検証済みのメールアドレスと名前を組み合わせた形式のアドレスをFromとする。
シミュレーターのバウンスメール確認アドレス：bounce@simulator.amazonses.com
をToに指定する。</t>
    <rPh sb="66" eb="68">
      <t>カクニン</t>
    </rPh>
    <rPh sb="108" eb="110">
      <t>シテイ</t>
    </rPh>
    <phoneticPr fontId="2"/>
  </si>
  <si>
    <t>以下情報を含む通知が返却されること。
NotificationType:Delivery
To:success@simulator.amazonses.com
Subject:MIME Mail test</t>
    <rPh sb="0" eb="4">
      <t>イカジョウホウ</t>
    </rPh>
    <rPh sb="5" eb="6">
      <t>フク</t>
    </rPh>
    <rPh sb="7" eb="9">
      <t>ツウチ</t>
    </rPh>
    <rPh sb="10" eb="12">
      <t>ヘンキャク</t>
    </rPh>
    <phoneticPr fontId="2"/>
  </si>
  <si>
    <t>以下情報を含む通知が返却されること。
NotificationType:Bounce
To:bounce@simulator.amazonses.com
Subject:MIME Mail test</t>
    <rPh sb="0" eb="4">
      <t>イカジョウホウ</t>
    </rPh>
    <rPh sb="5" eb="6">
      <t>フク</t>
    </rPh>
    <rPh sb="7" eb="9">
      <t>ツウチ</t>
    </rPh>
    <rPh sb="10" eb="12">
      <t>ヘンキャク</t>
    </rPh>
    <phoneticPr fontId="2"/>
  </si>
  <si>
    <t>・Amazon SESの利用が可能なリージョンに制限があるため、バージニア北部(us-east-1)とする。
・メールの送信通知に同リージョンのAmazon SNS, SQSを使用する。
　SNSの送達、バウンスのトピックとしてそれぞれSESDLVRS, SESBOUNCESを使用する。これらの通知をサブスクライブするSQSのキューとして、TEST_SQS_DELIVERIESをスタンダードキューで用意する。</t>
    <rPh sb="12" eb="14">
      <t>リヨウ</t>
    </rPh>
    <rPh sb="15" eb="17">
      <t>カノウ</t>
    </rPh>
    <rPh sb="24" eb="26">
      <t>セイゲン</t>
    </rPh>
    <rPh sb="37" eb="39">
      <t>ホクブ</t>
    </rPh>
    <rPh sb="60" eb="64">
      <t>ソウシンツウチ</t>
    </rPh>
    <rPh sb="65" eb="66">
      <t>ドウ</t>
    </rPh>
    <rPh sb="88" eb="90">
      <t>シヨウ</t>
    </rPh>
    <rPh sb="99" eb="101">
      <t>ソウタツ</t>
    </rPh>
    <rPh sb="139" eb="141">
      <t>シヨウ</t>
    </rPh>
    <rPh sb="201" eb="203">
      <t>ヨウイ</t>
    </rPh>
    <phoneticPr fontId="2"/>
  </si>
  <si>
    <t>・Amazon SESの利用が可能なリージョンに制限があるため、バージニア北部(us-east-1)とする。
・メールの送信通知に同リージョンのAmazon SNS, SQSを使用する。
　SNSの送達、バウンスのトピックとしてそれぞれSESDLVRS, SESBOUNCESを使用する。これらの通知をサブスクライブするSQSのキューとして、TEST_SQS_DELIVERIESをスタンダードキューで用意する。</t>
    <rPh sb="60" eb="64">
      <t>ソウシンツウチ</t>
    </rPh>
    <rPh sb="65" eb="66">
      <t>ドウ</t>
    </rPh>
    <rPh sb="88" eb="90">
      <t>シヨウ</t>
    </rPh>
    <rPh sb="99" eb="101">
      <t>ソウタツ</t>
    </rPh>
    <rPh sb="139" eb="141">
      <t>シヨウ</t>
    </rPh>
    <rPh sb="148" eb="150">
      <t>ツウチ</t>
    </rPh>
    <rPh sb="201" eb="203">
      <t>ヨウイ</t>
    </rPh>
    <phoneticPr fontId="2"/>
  </si>
  <si>
    <t>Amazon SESを使用したメール送信の機能確認として、正常・不達（バウンス）を確認する。</t>
    <rPh sb="11" eb="13">
      <t>シヨウ</t>
    </rPh>
    <rPh sb="18" eb="20">
      <t>ソウシン</t>
    </rPh>
    <rPh sb="21" eb="23">
      <t>キノウ</t>
    </rPh>
    <rPh sb="23" eb="25">
      <t>カクニン</t>
    </rPh>
    <rPh sb="29" eb="31">
      <t>セイジョウ</t>
    </rPh>
    <rPh sb="32" eb="34">
      <t>フタツ</t>
    </rPh>
    <rPh sb="41" eb="43">
      <t>カクニン</t>
    </rPh>
    <phoneticPr fontId="2"/>
  </si>
  <si>
    <t>Amazon SESを使用したメール送信の機能確認として、正常・不達（バウンス）を確認する。</t>
    <rPh sb="18" eb="20">
      <t>ソウシン</t>
    </rPh>
    <rPh sb="21" eb="23">
      <t>キノウ</t>
    </rPh>
    <rPh sb="23" eb="25">
      <t>カクニン</t>
    </rPh>
    <rPh sb="29" eb="31">
      <t>セイジョウ</t>
    </rPh>
    <rPh sb="32" eb="34">
      <t>フタツ</t>
    </rPh>
    <rPh sb="41" eb="43">
      <t>カクニン</t>
    </rPh>
    <phoneticPr fontId="2"/>
  </si>
  <si>
    <t>SimpleMailMessageを使用する。
サンドボックス内でAmazon SMSシミュレーターに対してメール送信が正常終了し、送信結果をSNS+SQSによる通知として妥当性を検証する。</t>
    <rPh sb="31" eb="32">
      <t>ナイ</t>
    </rPh>
    <rPh sb="51" eb="52">
      <t>タイ</t>
    </rPh>
    <rPh sb="57" eb="59">
      <t>ソウシン</t>
    </rPh>
    <rPh sb="60" eb="64">
      <t>セイジョウシュウリョウ</t>
    </rPh>
    <rPh sb="66" eb="68">
      <t>ソウシン</t>
    </rPh>
    <rPh sb="68" eb="70">
      <t>ケッカ</t>
    </rPh>
    <rPh sb="81" eb="83">
      <t>ツウチ</t>
    </rPh>
    <rPh sb="86" eb="89">
      <t>ダトウセイ</t>
    </rPh>
    <rPh sb="90" eb="92">
      <t>ケンショウ</t>
    </rPh>
    <phoneticPr fontId="2"/>
  </si>
  <si>
    <t xml:space="preserve">MimeMailHelperを使用する。
サンドボックス内でAmazon SMSシミュレーターに対してメール送信が正常終了し、送信結果をSNS+SQSによる通知として妥当性を検証する。
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</si>
</sst>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&lt;=999]000;[&lt;=9999]000\-00;000\-0000"/>
  </numFmts>
  <fonts count="9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3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4" borderId="9" xfId="0" applyFill="1" applyBorder="1" applyAlignment="1">
      <alignment horizontal="center" vertical="top"/>
    </xf>
    <xf numFmtId="0" fontId="0" fillId="0" borderId="1" xfId="0" applyNumberFormat="1" applyBorder="1" applyAlignment="1">
      <alignment horizontal="left" vertical="top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5" fillId="4" borderId="4" xfId="1" applyFill="1" applyBorder="1" applyAlignment="1" applyProtection="1">
      <alignment horizontal="center" vertical="center"/>
    </xf>
    <xf numFmtId="0" fontId="5" fillId="4" borderId="8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3" xfId="2" applyFill="1" applyBorder="1" applyAlignment="1">
      <alignment horizontal="center" vertical="center"/>
    </xf>
    <xf numFmtId="0" fontId="7" fillId="3" borderId="5" xfId="2" applyFont="1" applyFill="1" applyBorder="1" applyAlignment="1">
      <alignment horizontal="left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49" fontId="6" fillId="0" borderId="5" xfId="2" applyNumberFormat="1" applyBorder="1" applyAlignment="1">
      <alignment horizontal="left" vertical="top" wrapText="1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21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tabSelected="1" zoomScale="80" zoomScaleNormal="80" workbookViewId="0">
      <pane ySplit="4" topLeftCell="A5" activePane="bottomLeft" state="frozen"/>
      <selection pane="bottomLeft" activeCell="D7" sqref="D7"/>
    </sheetView>
  </sheetViews>
  <sheetFormatPr defaultRowHeight="13.2"/>
  <cols>
    <col min="1" max="1" width="9.77734375" bestFit="1" customWidth="1"/>
    <col min="2" max="2" width="41.21875" customWidth="1"/>
    <col min="3" max="3" width="13.6640625" customWidth="1"/>
    <col min="4" max="4" width="75" customWidth="1"/>
  </cols>
  <sheetData>
    <row r="1" spans="1:4">
      <c r="A1" s="1" t="s">
        <v>0</v>
      </c>
      <c r="B1" s="2" t="s">
        <v>24</v>
      </c>
      <c r="C1" s="25" t="s">
        <v>23</v>
      </c>
    </row>
    <row r="2" spans="1:4">
      <c r="A2" s="3" t="s">
        <v>1</v>
      </c>
      <c r="B2" s="2" t="s">
        <v>25</v>
      </c>
      <c r="C2" s="2"/>
    </row>
    <row r="4" spans="1:4">
      <c r="A4" s="4" t="s">
        <v>2</v>
      </c>
      <c r="B4" s="4" t="s">
        <v>3</v>
      </c>
      <c r="C4" s="4" t="s">
        <v>4</v>
      </c>
      <c r="D4" s="4" t="s">
        <v>5</v>
      </c>
    </row>
    <row r="5" spans="1:4" ht="44.4" customHeight="1">
      <c r="A5" s="23" t="str">
        <f>IF(B5="","",($B$1&amp;TEXT(IF(B5="","",COUNTA($B$5:B5)),"00")))</f>
        <v>MLSN01</v>
      </c>
      <c r="B5" s="22" t="s">
        <v>46</v>
      </c>
      <c r="C5" s="24" t="str">
        <f>IF(B5="",($B$1&amp;TEXT(IF(B5="",COUNTA($B$5:B5),1),"00")),A5)&amp;IF(B5&lt;&gt;"",TEXT(1,"00"),TEXT(IF(A5&lt;&gt;"",1,RIGHT(C4,2)+1),"00"))</f>
        <v>MLSN0101</v>
      </c>
      <c r="D5" s="5" t="s">
        <v>48</v>
      </c>
    </row>
    <row r="6" spans="1:4" ht="40.799999999999997" customHeight="1">
      <c r="A6" s="27" t="str">
        <f>IF(B6="","",($B$1&amp;TEXT(IF(B6="","",COUNTA($B$5:B6)),"00")))</f>
        <v>MLSN02</v>
      </c>
      <c r="B6" s="28" t="s">
        <v>47</v>
      </c>
      <c r="C6" s="24" t="str">
        <f>IF(B6="",($B$1&amp;TEXT(IF(B6="",COUNTA($B$5:B6),1),"00")),A6)&amp;IF(B6&lt;&gt;"",TEXT(1,"00"),TEXT(IF(A6&lt;&gt;"",1,RIGHT(#REF!,2)+1),"00"))</f>
        <v>MLSN0201</v>
      </c>
      <c r="D6" s="5" t="s">
        <v>49</v>
      </c>
    </row>
  </sheetData>
  <phoneticPr fontId="2"/>
  <conditionalFormatting sqref="B5">
    <cfRule type="expression" dxfId="20" priority="41">
      <formula>B5&lt;&gt;""</formula>
    </cfRule>
  </conditionalFormatting>
  <conditionalFormatting sqref="A5">
    <cfRule type="expression" dxfId="19" priority="31">
      <formula>A5&lt;&gt;""</formula>
    </cfRule>
  </conditionalFormatting>
  <conditionalFormatting sqref="A6">
    <cfRule type="expression" dxfId="18" priority="28">
      <formula>A6&lt;&gt;""</formula>
    </cfRule>
  </conditionalFormatting>
  <conditionalFormatting sqref="A6">
    <cfRule type="expression" dxfId="17" priority="14">
      <formula>A6&lt;&gt;""</formula>
    </cfRule>
  </conditionalFormatting>
  <conditionalFormatting sqref="B6">
    <cfRule type="expression" dxfId="16" priority="1">
      <formula>B6&lt;&gt;""</formula>
    </cfRule>
  </conditionalFormatting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zoomScale="70" zoomScaleNormal="70" workbookViewId="0">
      <pane ySplit="8" topLeftCell="A9" activePane="bottomLeft" state="frozen"/>
      <selection pane="bottomLeft" activeCell="E10" sqref="E10"/>
    </sheetView>
  </sheetViews>
  <sheetFormatPr defaultRowHeight="13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>
      <c r="A1" s="29" t="s">
        <v>6</v>
      </c>
      <c r="B1" s="30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>
      <c r="A2" s="31" t="s">
        <v>19</v>
      </c>
      <c r="B2" s="32"/>
      <c r="C2" s="35">
        <f>COUNTA($D$9:$D$65496)</f>
        <v>2</v>
      </c>
      <c r="D2" s="20" t="str">
        <f>大中項目!B1</f>
        <v>MLSN</v>
      </c>
      <c r="E2" s="18" t="s">
        <v>26</v>
      </c>
      <c r="F2" s="9"/>
      <c r="G2" s="9"/>
      <c r="H2" s="8"/>
    </row>
    <row r="3" spans="1:10">
      <c r="A3" s="33"/>
      <c r="B3" s="34"/>
      <c r="C3" s="36"/>
      <c r="D3" s="20" t="str">
        <f>大中項目!B2</f>
        <v>メール送信 Mail Sending (MLSN)</v>
      </c>
      <c r="E3" s="18"/>
      <c r="F3" s="9"/>
      <c r="G3" s="9"/>
      <c r="H3" s="9"/>
    </row>
    <row r="4" spans="1:10">
      <c r="A4" s="10"/>
      <c r="B4" s="10"/>
      <c r="C4" s="10"/>
      <c r="D4" s="10"/>
      <c r="E4" s="10"/>
      <c r="F4" s="10"/>
      <c r="G4" s="10"/>
      <c r="H4" s="10"/>
      <c r="I4" s="10"/>
    </row>
    <row r="5" spans="1:10">
      <c r="A5" s="37" t="s">
        <v>13</v>
      </c>
      <c r="B5" s="38"/>
      <c r="C5" s="38"/>
      <c r="D5" s="38"/>
      <c r="E5" s="38"/>
      <c r="F5" s="38"/>
      <c r="G5" s="38"/>
      <c r="H5" s="38"/>
      <c r="I5" s="39"/>
    </row>
    <row r="6" spans="1:10" ht="42" customHeight="1">
      <c r="A6" s="40" t="s">
        <v>44</v>
      </c>
      <c r="B6" s="41"/>
      <c r="C6" s="41"/>
      <c r="D6" s="41"/>
      <c r="E6" s="41"/>
      <c r="F6" s="41"/>
      <c r="G6" s="41"/>
      <c r="H6" s="41"/>
      <c r="I6" s="42"/>
    </row>
    <row r="7" spans="1:10">
      <c r="A7" s="11"/>
      <c r="B7" s="11"/>
      <c r="C7" s="11"/>
      <c r="D7" s="11"/>
      <c r="E7" s="11"/>
      <c r="F7" s="11"/>
      <c r="G7" s="11"/>
      <c r="H7" s="11"/>
      <c r="I7" s="11"/>
    </row>
    <row r="8" spans="1:10" ht="26.4">
      <c r="A8" s="6" t="s">
        <v>4</v>
      </c>
      <c r="B8" s="7" t="s">
        <v>20</v>
      </c>
      <c r="C8" s="6" t="s">
        <v>14</v>
      </c>
      <c r="D8" s="6" t="s">
        <v>15</v>
      </c>
      <c r="E8" s="6" t="s">
        <v>16</v>
      </c>
      <c r="F8" s="7" t="s">
        <v>21</v>
      </c>
      <c r="G8" s="7" t="s">
        <v>22</v>
      </c>
      <c r="H8" s="6" t="s">
        <v>17</v>
      </c>
      <c r="I8" s="6" t="s">
        <v>18</v>
      </c>
    </row>
    <row r="9" spans="1:10" ht="66">
      <c r="A9" s="12" t="s">
        <v>27</v>
      </c>
      <c r="B9" s="19">
        <f t="shared" ref="B9:B10" ca="1" si="0">IF(A9&lt;&gt;"",1,INDIRECT(ADDRESS(ROW(B9)-1,COLUMN(B9),4))+1)</f>
        <v>1</v>
      </c>
      <c r="C9" s="13" t="s">
        <v>28</v>
      </c>
      <c r="D9" s="14" t="s">
        <v>29</v>
      </c>
      <c r="E9" s="14" t="s">
        <v>30</v>
      </c>
      <c r="F9" s="14" t="s">
        <v>31</v>
      </c>
      <c r="G9" s="14" t="s">
        <v>32</v>
      </c>
      <c r="H9" s="14" t="s">
        <v>33</v>
      </c>
      <c r="I9" s="15" t="s">
        <v>34</v>
      </c>
      <c r="J9" s="26"/>
    </row>
    <row r="10" spans="1:10" ht="66">
      <c r="A10" s="17"/>
      <c r="B10" s="21">
        <f t="shared" ca="1" si="0"/>
        <v>2</v>
      </c>
      <c r="C10" s="13" t="s">
        <v>28</v>
      </c>
      <c r="D10" s="16" t="s">
        <v>35</v>
      </c>
      <c r="E10" s="14" t="s">
        <v>30</v>
      </c>
      <c r="F10" s="14" t="s">
        <v>31</v>
      </c>
      <c r="G10" s="14" t="s">
        <v>36</v>
      </c>
      <c r="H10" s="14" t="s">
        <v>37</v>
      </c>
      <c r="I10" s="15" t="s">
        <v>34</v>
      </c>
      <c r="J10" s="26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0">
    <cfRule type="expression" dxfId="15" priority="106">
      <formula>A9&lt;&gt;""</formula>
    </cfRule>
  </conditionalFormatting>
  <conditionalFormatting sqref="B9:B10">
    <cfRule type="expression" dxfId="14" priority="34">
      <formula>B9&lt;&gt;""</formula>
    </cfRule>
  </conditionalFormatting>
  <conditionalFormatting sqref="B9">
    <cfRule type="expression" dxfId="13" priority="33">
      <formula>B9&lt;&gt;""</formula>
    </cfRule>
  </conditionalFormatting>
  <conditionalFormatting sqref="B9">
    <cfRule type="expression" dxfId="12" priority="32">
      <formula>B9&lt;&gt;""</formula>
    </cfRule>
  </conditionalFormatting>
  <conditionalFormatting sqref="B9">
    <cfRule type="expression" dxfId="11" priority="31">
      <formula>B9&lt;&gt;""</formula>
    </cfRule>
  </conditionalFormatting>
  <conditionalFormatting sqref="B10">
    <cfRule type="expression" dxfId="10" priority="30">
      <formula>B10&lt;&gt;""</formula>
    </cfRule>
  </conditionalFormatting>
  <conditionalFormatting sqref="B10">
    <cfRule type="expression" dxfId="9" priority="29">
      <formula>B10&lt;&gt;""</formula>
    </cfRule>
  </conditionalFormatting>
  <conditionalFormatting sqref="B10">
    <cfRule type="expression" dxfId="8" priority="28">
      <formula>B10&lt;&gt;""</formula>
    </cfRule>
  </conditionalFormatting>
  <dataValidations count="2">
    <dataValidation type="list" allowBlank="1" showInputMessage="1" showErrorMessage="1" sqref="I9:I10">
      <formula1>"Selenium:○,Seleniumu:△,Selenium:×,JUnit:○,JUnit:△,Junit:×,手動実行,机上"</formula1>
    </dataValidation>
    <dataValidation type="list" allowBlank="1" showInputMessage="1" showErrorMessage="1" sqref="C9:C10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zoomScale="70" zoomScaleNormal="70" workbookViewId="0">
      <pane ySplit="8" topLeftCell="A9" activePane="bottomLeft" state="frozen"/>
      <selection pane="bottomLeft" activeCell="D9" sqref="D9"/>
    </sheetView>
  </sheetViews>
  <sheetFormatPr defaultRowHeight="13.2"/>
  <cols>
    <col min="1" max="1" width="11.21875" customWidth="1"/>
    <col min="2" max="2" width="8.6640625" customWidth="1"/>
    <col min="3" max="3" width="10.33203125" customWidth="1"/>
    <col min="4" max="4" width="25.109375" customWidth="1"/>
    <col min="5" max="5" width="42.77734375" customWidth="1"/>
    <col min="6" max="7" width="41.77734375" customWidth="1"/>
    <col min="8" max="8" width="42" customWidth="1"/>
    <col min="9" max="9" width="16.77734375" customWidth="1"/>
  </cols>
  <sheetData>
    <row r="1" spans="1:10" ht="26.4">
      <c r="A1" s="29" t="s">
        <v>6</v>
      </c>
      <c r="B1" s="30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>
      <c r="A2" s="31" t="s">
        <v>19</v>
      </c>
      <c r="B2" s="32"/>
      <c r="C2" s="35">
        <f>COUNTA($D$9:$D$65496)</f>
        <v>2</v>
      </c>
      <c r="D2" s="20" t="str">
        <f>大中項目!B1</f>
        <v>MLSN</v>
      </c>
      <c r="E2" s="18" t="s">
        <v>26</v>
      </c>
      <c r="F2" s="9"/>
      <c r="G2" s="9"/>
      <c r="H2" s="8"/>
    </row>
    <row r="3" spans="1:10">
      <c r="A3" s="33"/>
      <c r="B3" s="34"/>
      <c r="C3" s="36"/>
      <c r="D3" s="20" t="str">
        <f>大中項目!B2</f>
        <v>メール送信 Mail Sending (MLSN)</v>
      </c>
      <c r="E3" s="18"/>
      <c r="F3" s="9"/>
      <c r="G3" s="9"/>
      <c r="H3" s="9"/>
    </row>
    <row r="4" spans="1:10">
      <c r="A4" s="10"/>
      <c r="B4" s="10"/>
      <c r="C4" s="10"/>
      <c r="D4" s="10"/>
      <c r="E4" s="10"/>
      <c r="F4" s="10"/>
      <c r="G4" s="10"/>
      <c r="H4" s="10"/>
      <c r="I4" s="10"/>
    </row>
    <row r="5" spans="1:10">
      <c r="A5" s="37" t="s">
        <v>13</v>
      </c>
      <c r="B5" s="38"/>
      <c r="C5" s="38"/>
      <c r="D5" s="38"/>
      <c r="E5" s="38"/>
      <c r="F5" s="38"/>
      <c r="G5" s="38"/>
      <c r="H5" s="38"/>
      <c r="I5" s="39"/>
    </row>
    <row r="6" spans="1:10" ht="42" customHeight="1">
      <c r="A6" s="40" t="s">
        <v>45</v>
      </c>
      <c r="B6" s="41"/>
      <c r="C6" s="41"/>
      <c r="D6" s="41"/>
      <c r="E6" s="41"/>
      <c r="F6" s="41"/>
      <c r="G6" s="41"/>
      <c r="H6" s="41"/>
      <c r="I6" s="42"/>
    </row>
    <row r="7" spans="1:10">
      <c r="A7" s="11"/>
      <c r="B7" s="11"/>
      <c r="C7" s="11"/>
      <c r="D7" s="11"/>
      <c r="E7" s="11"/>
      <c r="F7" s="11"/>
      <c r="G7" s="11"/>
      <c r="H7" s="11"/>
      <c r="I7" s="11"/>
    </row>
    <row r="8" spans="1:10" ht="26.4">
      <c r="A8" s="6" t="s">
        <v>4</v>
      </c>
      <c r="B8" s="7" t="s">
        <v>20</v>
      </c>
      <c r="C8" s="6" t="s">
        <v>14</v>
      </c>
      <c r="D8" s="6" t="s">
        <v>15</v>
      </c>
      <c r="E8" s="6" t="s">
        <v>16</v>
      </c>
      <c r="F8" s="7" t="s">
        <v>21</v>
      </c>
      <c r="G8" s="7" t="s">
        <v>22</v>
      </c>
      <c r="H8" s="6" t="s">
        <v>17</v>
      </c>
      <c r="I8" s="6" t="s">
        <v>18</v>
      </c>
    </row>
    <row r="9" spans="1:10" ht="79.2">
      <c r="A9" s="12" t="s">
        <v>38</v>
      </c>
      <c r="B9" s="19">
        <f t="shared" ref="B9:B10" ca="1" si="0">IF(A9&lt;&gt;"",1,INDIRECT(ADDRESS(ROW(B9)-1,COLUMN(B9),4))+1)</f>
        <v>1</v>
      </c>
      <c r="C9" s="13" t="s">
        <v>28</v>
      </c>
      <c r="D9" s="14" t="s">
        <v>29</v>
      </c>
      <c r="E9" s="14" t="s">
        <v>39</v>
      </c>
      <c r="F9" s="14" t="s">
        <v>31</v>
      </c>
      <c r="G9" s="14" t="s">
        <v>40</v>
      </c>
      <c r="H9" s="14" t="s">
        <v>42</v>
      </c>
      <c r="I9" s="15" t="s">
        <v>34</v>
      </c>
      <c r="J9" s="26"/>
    </row>
    <row r="10" spans="1:10" ht="79.2">
      <c r="A10" s="17"/>
      <c r="B10" s="21">
        <f t="shared" ca="1" si="0"/>
        <v>2</v>
      </c>
      <c r="C10" s="13" t="s">
        <v>28</v>
      </c>
      <c r="D10" s="16" t="s">
        <v>35</v>
      </c>
      <c r="E10" s="14" t="s">
        <v>39</v>
      </c>
      <c r="F10" s="14" t="s">
        <v>31</v>
      </c>
      <c r="G10" s="14" t="s">
        <v>41</v>
      </c>
      <c r="H10" s="14" t="s">
        <v>43</v>
      </c>
      <c r="I10" s="15" t="s">
        <v>34</v>
      </c>
      <c r="J10" s="26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0">
    <cfRule type="expression" dxfId="7" priority="11">
      <formula>A9&lt;&gt;""</formula>
    </cfRule>
  </conditionalFormatting>
  <conditionalFormatting sqref="B9:B10">
    <cfRule type="expression" dxfId="6" priority="10">
      <formula>B9&lt;&gt;""</formula>
    </cfRule>
  </conditionalFormatting>
  <conditionalFormatting sqref="B9">
    <cfRule type="expression" dxfId="5" priority="9">
      <formula>B9&lt;&gt;""</formula>
    </cfRule>
  </conditionalFormatting>
  <conditionalFormatting sqref="B9">
    <cfRule type="expression" dxfId="4" priority="8">
      <formula>B9&lt;&gt;""</formula>
    </cfRule>
  </conditionalFormatting>
  <conditionalFormatting sqref="B9">
    <cfRule type="expression" dxfId="3" priority="7">
      <formula>B9&lt;&gt;""</formula>
    </cfRule>
  </conditionalFormatting>
  <conditionalFormatting sqref="B10">
    <cfRule type="expression" dxfId="2" priority="6">
      <formula>B10&lt;&gt;""</formula>
    </cfRule>
  </conditionalFormatting>
  <conditionalFormatting sqref="B10">
    <cfRule type="expression" dxfId="1" priority="5">
      <formula>B10&lt;&gt;""</formula>
    </cfRule>
  </conditionalFormatting>
  <conditionalFormatting sqref="B10">
    <cfRule type="expression" dxfId="0" priority="4">
      <formula>B10&lt;&gt;""</formula>
    </cfRule>
  </conditionalFormatting>
  <dataValidations count="2">
    <dataValidation type="list" allowBlank="1" showInputMessage="1" showErrorMessage="1" sqref="C9:C10">
      <formula1>"正常,クライアントエラー,サーバーエラー"</formula1>
    </dataValidation>
    <dataValidation type="list" allowBlank="1" showInputMessage="1" showErrorMessage="1" sqref="I9:I10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大中項目</vt:lpstr>
      <vt:lpstr>MLSN01</vt:lpstr>
      <vt:lpstr>MLSN02</vt:lpstr>
      <vt:lpstr>MLSN01!Print_Titles</vt:lpstr>
      <vt:lpstr>MLSN02!Print_Titles</vt:lpstr>
      <vt:lpstr>大中項目!Print_Titles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btishiwatasns</dc:creator>
  <cp:lastModifiedBy>terafwXXXX</cp:lastModifiedBy>
  <cp:lastPrinted>2013-11-12T01:02:24Z</cp:lastPrinted>
  <dcterms:created xsi:type="dcterms:W3CDTF">2013-11-07T11:05:46Z</dcterms:created>
  <dcterms:modified xsi:type="dcterms:W3CDTF">2017-11-21T14:38:59Z</dcterms:modified>
</cp:coreProperties>
</file>